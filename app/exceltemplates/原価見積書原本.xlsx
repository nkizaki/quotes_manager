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codeName="ThisWorkbook" defaultThemeVersion="202300"/>
  <xr:revisionPtr revIDLastSave="0" documentId="13_ncr:1_{8CEC02B0-05F1-409D-A704-DDC876E7DBEF}" xr6:coauthVersionLast="47" xr6:coauthVersionMax="47" xr10:uidLastSave="{00000000-0000-0000-0000-000000000000}"/>
  <bookViews>
    <workbookView xWindow="-120" yWindow="-120" windowWidth="29040" windowHeight="15720" xr2:uid="{87A5FBF6-672F-4602-A35F-86158769EC9A}"/>
  </bookViews>
  <sheets>
    <sheet name="原価見積りシート" sheetId="2" r:id="rId1"/>
    <sheet name="比較表" sheetId="3" r:id="rId2"/>
  </sheets>
  <definedNames>
    <definedName name="_xlnm.Print_Area" localSheetId="0">原価見積りシート!$A$1:$G$49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1" i="3"/>
  <c r="G13" i="2"/>
  <c r="G47" i="2"/>
  <c r="G34" i="2"/>
  <c r="G42" i="2" s="1"/>
  <c r="G35" i="2" l="1"/>
  <c r="G40" i="2" l="1"/>
  <c r="G43" i="2" s="1"/>
  <c r="G49" i="2" l="1"/>
  <c r="G2" i="2"/>
  <c r="G3" i="2" s="1"/>
  <c r="G4" i="2" s="1"/>
  <c r="G5" i="2" s="1"/>
  <c r="G6" i="2" s="1"/>
  <c r="G7" i="2" s="1"/>
  <c r="G9" i="2" s="1"/>
</calcChain>
</file>

<file path=xl/sharedStrings.xml><?xml version="1.0" encoding="utf-8"?>
<sst xmlns="http://schemas.openxmlformats.org/spreadsheetml/2006/main" count="75" uniqueCount="57">
  <si>
    <t>材料費</t>
    <rPh sb="0" eb="3">
      <t>ザイリョウヒ</t>
    </rPh>
    <phoneticPr fontId="2"/>
  </si>
  <si>
    <t>基本情報</t>
    <rPh sb="0" eb="4">
      <t>キホンジョウホウ</t>
    </rPh>
    <phoneticPr fontId="2"/>
  </si>
  <si>
    <t>検査</t>
    <rPh sb="0" eb="2">
      <t>ケンサ</t>
    </rPh>
    <phoneticPr fontId="2"/>
  </si>
  <si>
    <t>加工費・管理費</t>
    <rPh sb="0" eb="3">
      <t>カコウヒ</t>
    </rPh>
    <rPh sb="4" eb="7">
      <t>カンリヒ</t>
    </rPh>
    <phoneticPr fontId="2"/>
  </si>
  <si>
    <t>機械等</t>
    <rPh sb="0" eb="2">
      <t>キカイ</t>
    </rPh>
    <rPh sb="2" eb="3">
      <t>トウ</t>
    </rPh>
    <phoneticPr fontId="2"/>
  </si>
  <si>
    <t>送料・梱包</t>
    <rPh sb="0" eb="2">
      <t>ソウリョウ</t>
    </rPh>
    <rPh sb="3" eb="5">
      <t>コンポウ</t>
    </rPh>
    <phoneticPr fontId="2"/>
  </si>
  <si>
    <t>送料</t>
    <rPh sb="0" eb="2">
      <t>ソウリョウ</t>
    </rPh>
    <phoneticPr fontId="2"/>
  </si>
  <si>
    <t>梱包</t>
    <rPh sb="0" eb="2">
      <t>コンポウ</t>
    </rPh>
    <phoneticPr fontId="2"/>
  </si>
  <si>
    <t>合計額</t>
    <rPh sb="0" eb="3">
      <t>ゴウケイガク</t>
    </rPh>
    <phoneticPr fontId="2"/>
  </si>
  <si>
    <t>見積単価</t>
    <rPh sb="0" eb="2">
      <t>ミツモリ</t>
    </rPh>
    <rPh sb="2" eb="4">
      <t>タンカ</t>
    </rPh>
    <phoneticPr fontId="2"/>
  </si>
  <si>
    <t>見積単価＋送料単価</t>
    <rPh sb="0" eb="2">
      <t>ミツモリ</t>
    </rPh>
    <rPh sb="2" eb="4">
      <t>タンカ</t>
    </rPh>
    <rPh sb="5" eb="7">
      <t>ソウリョウ</t>
    </rPh>
    <rPh sb="7" eb="9">
      <t>タンカ</t>
    </rPh>
    <phoneticPr fontId="2"/>
  </si>
  <si>
    <t>送料単価</t>
    <rPh sb="0" eb="4">
      <t>ソウリョウタンカ</t>
    </rPh>
    <phoneticPr fontId="2"/>
  </si>
  <si>
    <t>合計単価</t>
    <rPh sb="0" eb="2">
      <t>ゴウケイ</t>
    </rPh>
    <rPh sb="2" eb="4">
      <t>タンカ</t>
    </rPh>
    <phoneticPr fontId="2"/>
  </si>
  <si>
    <t>参考</t>
    <rPh sb="0" eb="2">
      <t>サンコウ</t>
    </rPh>
    <phoneticPr fontId="2"/>
  </si>
  <si>
    <t>原価合計+粗利</t>
    <rPh sb="0" eb="4">
      <t>ゲンカゴウケイ</t>
    </rPh>
    <rPh sb="5" eb="7">
      <t>アラリ</t>
    </rPh>
    <phoneticPr fontId="2"/>
  </si>
  <si>
    <t>原価見積書</t>
    <rPh sb="0" eb="4">
      <t>ゲンカミツモリ</t>
    </rPh>
    <rPh sb="4" eb="5">
      <t>ショ</t>
    </rPh>
    <phoneticPr fontId="2"/>
  </si>
  <si>
    <t>原価見積ID</t>
    <rPh sb="0" eb="2">
      <t>ゲンカ</t>
    </rPh>
    <rPh sb="2" eb="4">
      <t>ミツモリ</t>
    </rPh>
    <phoneticPr fontId="2"/>
  </si>
  <si>
    <t>客先名</t>
    <rPh sb="0" eb="3">
      <t>キャクサキメイ</t>
    </rPh>
    <phoneticPr fontId="2"/>
  </si>
  <si>
    <t>品番</t>
    <rPh sb="0" eb="2">
      <t>ヒンバン</t>
    </rPh>
    <phoneticPr fontId="2"/>
  </si>
  <si>
    <t>品名</t>
    <rPh sb="0" eb="2">
      <t>ヒンメイ</t>
    </rPh>
    <phoneticPr fontId="2"/>
  </si>
  <si>
    <t>営業担当</t>
    <rPh sb="0" eb="4">
      <t>エイギョウタントウ</t>
    </rPh>
    <phoneticPr fontId="2"/>
  </si>
  <si>
    <t>材種</t>
    <rPh sb="0" eb="2">
      <t>ザイシュ</t>
    </rPh>
    <phoneticPr fontId="2"/>
  </si>
  <si>
    <t>ロット数</t>
    <rPh sb="3" eb="4">
      <t>スウ</t>
    </rPh>
    <phoneticPr fontId="2"/>
  </si>
  <si>
    <t>単重(g)</t>
    <rPh sb="0" eb="2">
      <t>タンジュウ</t>
    </rPh>
    <phoneticPr fontId="2"/>
  </si>
  <si>
    <t>材料費▲</t>
    <rPh sb="0" eb="2">
      <t>ザイリョウ</t>
    </rPh>
    <phoneticPr fontId="2"/>
  </si>
  <si>
    <t>刃工具費▲</t>
    <rPh sb="0" eb="3">
      <t>ハコウグ</t>
    </rPh>
    <phoneticPr fontId="2"/>
  </si>
  <si>
    <t>表面処理費▲</t>
    <rPh sb="0" eb="4">
      <t>ヒョウメンショリ</t>
    </rPh>
    <phoneticPr fontId="2"/>
  </si>
  <si>
    <t>必要日数</t>
    <rPh sb="0" eb="4">
      <t>ヒツヨウニッスウ</t>
    </rPh>
    <phoneticPr fontId="2"/>
  </si>
  <si>
    <t>粗利率</t>
    <rPh sb="0" eb="3">
      <t>アラリリツ</t>
    </rPh>
    <phoneticPr fontId="2"/>
  </si>
  <si>
    <t>原価合計</t>
    <rPh sb="0" eb="4">
      <t>ゲンカゴウケイ</t>
    </rPh>
    <phoneticPr fontId="2"/>
  </si>
  <si>
    <t>粗利</t>
    <rPh sb="0" eb="2">
      <t>アラリ</t>
    </rPh>
    <phoneticPr fontId="2"/>
  </si>
  <si>
    <t>社内</t>
    <rPh sb="0" eb="2">
      <t>シャナイ</t>
    </rPh>
    <phoneticPr fontId="2"/>
  </si>
  <si>
    <t>社外</t>
    <rPh sb="0" eb="2">
      <t>シャガイ</t>
    </rPh>
    <phoneticPr fontId="2"/>
  </si>
  <si>
    <t>運賃単価</t>
    <rPh sb="0" eb="4">
      <t>ウンチンタンカ</t>
    </rPh>
    <phoneticPr fontId="2"/>
  </si>
  <si>
    <t>加工管理合計(社内)</t>
    <rPh sb="0" eb="2">
      <t>カコウ</t>
    </rPh>
    <rPh sb="2" eb="4">
      <t>カンリ</t>
    </rPh>
    <rPh sb="4" eb="6">
      <t>ゴウケイ</t>
    </rPh>
    <rPh sb="7" eb="9">
      <t>シャナイ</t>
    </rPh>
    <phoneticPr fontId="2"/>
  </si>
  <si>
    <r>
      <rPr>
        <sz val="11"/>
        <color theme="1"/>
        <rFont val="ＭＳ ゴシック"/>
        <family val="3"/>
        <charset val="128"/>
      </rPr>
      <t>材料費</t>
    </r>
    <r>
      <rPr>
        <sz val="11"/>
        <color theme="1"/>
        <rFont val="Segoe UI Symbol"/>
        <family val="2"/>
      </rPr>
      <t>+</t>
    </r>
    <r>
      <rPr>
        <sz val="11"/>
        <color theme="1"/>
        <rFont val="ＭＳ ゴシック"/>
        <family val="3"/>
        <charset val="128"/>
      </rPr>
      <t>加工管理合計</t>
    </r>
    <r>
      <rPr>
        <sz val="11"/>
        <color theme="1"/>
        <rFont val="Segoe UI Symbol"/>
        <family val="2"/>
      </rPr>
      <t>+</t>
    </r>
    <r>
      <rPr>
        <sz val="11"/>
        <color theme="1"/>
        <rFont val="ＭＳ ゴシック"/>
        <family val="3"/>
        <charset val="128"/>
      </rPr>
      <t>管理費</t>
    </r>
    <rPh sb="0" eb="3">
      <t>ザイリョウヒ</t>
    </rPh>
    <rPh sb="4" eb="6">
      <t>カコウ</t>
    </rPh>
    <rPh sb="6" eb="8">
      <t>カンリ</t>
    </rPh>
    <rPh sb="8" eb="10">
      <t>ゴウケイ</t>
    </rPh>
    <rPh sb="11" eb="14">
      <t>カンリヒ</t>
    </rPh>
    <phoneticPr fontId="2"/>
  </si>
  <si>
    <t>加工管理合計(社内)×粗利率</t>
  </si>
  <si>
    <t>項目</t>
    <rPh sb="0" eb="2">
      <t>コウモク</t>
    </rPh>
    <phoneticPr fontId="2"/>
  </si>
  <si>
    <t>サイクル</t>
    <phoneticPr fontId="2"/>
  </si>
  <si>
    <t>賃率</t>
    <rPh sb="0" eb="2">
      <t>チンリツ</t>
    </rPh>
    <phoneticPr fontId="2"/>
  </si>
  <si>
    <t>内訳</t>
    <rPh sb="0" eb="2">
      <t>ウチワケ</t>
    </rPh>
    <phoneticPr fontId="2"/>
  </si>
  <si>
    <t>分類</t>
    <rPh sb="0" eb="2">
      <t>ブンルイ</t>
    </rPh>
    <phoneticPr fontId="2"/>
  </si>
  <si>
    <t>刃工具費=日数÷交換サイクル×刃工具価格÷ロット数</t>
    <phoneticPr fontId="2"/>
  </si>
  <si>
    <t>セット費=時間(s)×切削賃率÷ロット数</t>
    <rPh sb="3" eb="4">
      <t>ヒ</t>
    </rPh>
    <rPh sb="5" eb="7">
      <t>ジカン</t>
    </rPh>
    <rPh sb="11" eb="13">
      <t>セッサク</t>
    </rPh>
    <rPh sb="13" eb="15">
      <t>チンリツ</t>
    </rPh>
    <rPh sb="19" eb="20">
      <t>スウ</t>
    </rPh>
    <phoneticPr fontId="2"/>
  </si>
  <si>
    <t>梱包種類</t>
    <rPh sb="0" eb="4">
      <t>コンポウシュルイ</t>
    </rPh>
    <phoneticPr fontId="2"/>
  </si>
  <si>
    <t>社外管理費▲</t>
    <rPh sb="0" eb="2">
      <t>シャガイ</t>
    </rPh>
    <rPh sb="2" eb="5">
      <t>カンリヒ</t>
    </rPh>
    <phoneticPr fontId="2"/>
  </si>
  <si>
    <t>検査費▲</t>
    <rPh sb="0" eb="2">
      <t>ケンサ</t>
    </rPh>
    <rPh sb="2" eb="3">
      <t>ヒ</t>
    </rPh>
    <phoneticPr fontId="2"/>
  </si>
  <si>
    <t>梱包費▲</t>
    <rPh sb="0" eb="2">
      <t>コンポウ</t>
    </rPh>
    <rPh sb="2" eb="3">
      <t>ヒ</t>
    </rPh>
    <phoneticPr fontId="2"/>
  </si>
  <si>
    <t>機械チャージ</t>
    <rPh sb="0" eb="2">
      <t>キカイ</t>
    </rPh>
    <phoneticPr fontId="2"/>
  </si>
  <si>
    <t>梱包チャージ</t>
    <rPh sb="0" eb="2">
      <t>コンポウ</t>
    </rPh>
    <phoneticPr fontId="2"/>
  </si>
  <si>
    <t>検査チャージ</t>
    <rPh sb="0" eb="2">
      <t>ケンサ</t>
    </rPh>
    <phoneticPr fontId="2"/>
  </si>
  <si>
    <t>チャージ合計</t>
    <rPh sb="4" eb="6">
      <t>ゴウケイ</t>
    </rPh>
    <phoneticPr fontId="2"/>
  </si>
  <si>
    <t>梱包チャージ=ロット数×計量梱包原価÷20÷RoundUp(ロット数/20/箱入数*300/28800)</t>
    <rPh sb="0" eb="2">
      <t>コンポウ</t>
    </rPh>
    <rPh sb="10" eb="11">
      <t>スウ</t>
    </rPh>
    <rPh sb="12" eb="16">
      <t>ケイリョウコンポウ</t>
    </rPh>
    <rPh sb="16" eb="18">
      <t>ゲンカ</t>
    </rPh>
    <rPh sb="33" eb="34">
      <t>スウ</t>
    </rPh>
    <rPh sb="38" eb="39">
      <t>ハコ</t>
    </rPh>
    <rPh sb="39" eb="41">
      <t>イリスウ</t>
    </rPh>
    <phoneticPr fontId="2"/>
  </si>
  <si>
    <t>機械チャージ=梱包費▲×ロット数÷必要日数</t>
    <rPh sb="0" eb="2">
      <t>キカイ</t>
    </rPh>
    <rPh sb="7" eb="10">
      <t>コンポウヒ</t>
    </rPh>
    <rPh sb="15" eb="16">
      <t>スウ</t>
    </rPh>
    <rPh sb="17" eb="21">
      <t>ヒツヨウニッスウ</t>
    </rPh>
    <phoneticPr fontId="2"/>
  </si>
  <si>
    <t>検査チャージ=Σ(ロット数×各検査の原価÷20)÷RoundUp((ロット数÷20日)÷(28800÷各検査のCT))</t>
    <rPh sb="0" eb="2">
      <t>ケンサ</t>
    </rPh>
    <rPh sb="12" eb="13">
      <t>スウ</t>
    </rPh>
    <rPh sb="14" eb="15">
      <t>カク</t>
    </rPh>
    <rPh sb="15" eb="17">
      <t>ケンサ</t>
    </rPh>
    <rPh sb="18" eb="20">
      <t>ゲンカ</t>
    </rPh>
    <rPh sb="37" eb="38">
      <t>スウ</t>
    </rPh>
    <rPh sb="41" eb="42">
      <t>ニチ</t>
    </rPh>
    <rPh sb="51" eb="52">
      <t>カク</t>
    </rPh>
    <rPh sb="52" eb="54">
      <t>ケンサ</t>
    </rPh>
    <phoneticPr fontId="2"/>
  </si>
  <si>
    <t>ロットID</t>
    <phoneticPr fontId="2"/>
  </si>
  <si>
    <t>初期費用:</t>
    <rPh sb="0" eb="4">
      <t>ショキヒヨウ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</si>
</sst>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_ "/>
    <numFmt numFmtId="177" formatCode="#,##0_ "/>
    <numFmt numFmtId="178" formatCode="0_);[Red]\(0\)"/>
    <numFmt numFmtId="179" formatCode="#,###"/>
  </numFmts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Segoe UI Symbol"/>
      <family val="2"/>
    </font>
    <font>
      <sz val="11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11"/>
      <color theme="1"/>
      <name val="Segoe UI Symbol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3" fillId="0" borderId="0" xfId="0" applyFont="1">
      <alignment vertical="center"/>
    </xf>
    <xf numFmtId="38" fontId="0" fillId="0" borderId="0" xfId="1" applyFont="1" applyAlignment="1">
      <alignment horizontal="left" vertical="center"/>
    </xf>
    <xf numFmtId="0" fontId="4" fillId="0" borderId="0" xfId="0" applyFont="1">
      <alignment vertical="center"/>
    </xf>
    <xf numFmtId="0" fontId="3" fillId="4" borderId="12" xfId="0" applyFont="1" applyFill="1" applyBorder="1">
      <alignment vertical="center"/>
    </xf>
    <xf numFmtId="0" fontId="0" fillId="5" borderId="3" xfId="0" applyFill="1" applyBorder="1">
      <alignment vertical="center"/>
    </xf>
    <xf numFmtId="0" fontId="3" fillId="5" borderId="4" xfId="0" applyFont="1" applyFill="1" applyBorder="1">
      <alignment vertical="center"/>
    </xf>
    <xf numFmtId="40" fontId="0" fillId="3" borderId="7" xfId="1" applyNumberFormat="1" applyFont="1" applyFill="1" applyBorder="1">
      <alignment vertical="center"/>
    </xf>
    <xf numFmtId="40" fontId="0" fillId="3" borderId="2" xfId="1" applyNumberFormat="1" applyFont="1" applyFill="1" applyBorder="1">
      <alignment vertical="center"/>
    </xf>
    <xf numFmtId="40" fontId="0" fillId="3" borderId="1" xfId="1" applyNumberFormat="1" applyFont="1" applyFill="1" applyBorder="1">
      <alignment vertical="center"/>
    </xf>
    <xf numFmtId="40" fontId="0" fillId="4" borderId="7" xfId="1" applyNumberFormat="1" applyFont="1" applyFill="1" applyBorder="1">
      <alignment vertical="center"/>
    </xf>
    <xf numFmtId="40" fontId="0" fillId="4" borderId="2" xfId="1" applyNumberFormat="1" applyFont="1" applyFill="1" applyBorder="1">
      <alignment vertical="center"/>
    </xf>
    <xf numFmtId="40" fontId="0" fillId="4" borderId="6" xfId="1" applyNumberFormat="1" applyFont="1" applyFill="1" applyBorder="1">
      <alignment vertical="center"/>
    </xf>
    <xf numFmtId="40" fontId="0" fillId="4" borderId="1" xfId="1" applyNumberFormat="1" applyFont="1" applyFill="1" applyBorder="1">
      <alignment vertical="center"/>
    </xf>
    <xf numFmtId="40" fontId="0" fillId="5" borderId="10" xfId="1" applyNumberFormat="1" applyFont="1" applyFill="1" applyBorder="1">
      <alignment vertical="center"/>
    </xf>
    <xf numFmtId="40" fontId="0" fillId="0" borderId="0" xfId="1" applyNumberFormat="1" applyFont="1" applyAlignment="1">
      <alignment horizontal="left" vertical="center"/>
    </xf>
    <xf numFmtId="40" fontId="0" fillId="3" borderId="5" xfId="1" applyNumberFormat="1" applyFont="1" applyFill="1" applyBorder="1">
      <alignment vertical="center"/>
    </xf>
    <xf numFmtId="10" fontId="0" fillId="3" borderId="9" xfId="2" applyNumberFormat="1" applyFont="1" applyFill="1" applyBorder="1">
      <alignment vertical="center"/>
    </xf>
    <xf numFmtId="0" fontId="0" fillId="0" borderId="0" xfId="0" applyAlignment="1">
      <alignment horizontal="left" vertical="center"/>
    </xf>
    <xf numFmtId="40" fontId="0" fillId="2" borderId="2" xfId="1" applyNumberFormat="1" applyFont="1" applyFill="1" applyBorder="1">
      <alignment vertical="center"/>
    </xf>
    <xf numFmtId="0" fontId="0" fillId="3" borderId="5" xfId="0" applyFill="1" applyBorder="1">
      <alignment vertical="center"/>
    </xf>
    <xf numFmtId="0" fontId="5" fillId="3" borderId="8" xfId="0" applyFont="1" applyFill="1" applyBorder="1">
      <alignment vertical="center"/>
    </xf>
    <xf numFmtId="0" fontId="5" fillId="4" borderId="11" xfId="0" applyFont="1" applyFill="1" applyBorder="1">
      <alignment vertical="center"/>
    </xf>
    <xf numFmtId="0" fontId="5" fillId="4" borderId="10" xfId="0" applyFont="1" applyFill="1" applyBorder="1">
      <alignment vertical="center"/>
    </xf>
    <xf numFmtId="0" fontId="5" fillId="4" borderId="5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5" fillId="5" borderId="4" xfId="0" applyFont="1" applyFill="1" applyBorder="1" applyAlignment="1">
      <alignment horizontal="left" vertical="center"/>
    </xf>
    <xf numFmtId="0" fontId="5" fillId="3" borderId="6" xfId="0" applyFont="1" applyFill="1" applyBorder="1">
      <alignment vertical="center"/>
    </xf>
    <xf numFmtId="0" fontId="5" fillId="3" borderId="7" xfId="0" applyFont="1" applyFill="1" applyBorder="1" applyAlignment="1">
      <alignment horizontal="left" vertical="center"/>
    </xf>
    <xf numFmtId="0" fontId="6" fillId="4" borderId="10" xfId="0" applyFont="1" applyFill="1" applyBorder="1">
      <alignment vertical="center"/>
    </xf>
    <xf numFmtId="0" fontId="0" fillId="2" borderId="5" xfId="0" applyFill="1" applyBorder="1">
      <alignment vertical="center"/>
    </xf>
    <xf numFmtId="0" fontId="0" fillId="3" borderId="11" xfId="0" applyFill="1" applyBorder="1">
      <alignment vertical="center"/>
    </xf>
    <xf numFmtId="0" fontId="5" fillId="3" borderId="5" xfId="0" applyFont="1" applyFill="1" applyBorder="1">
      <alignment vertical="center"/>
    </xf>
    <xf numFmtId="0" fontId="3" fillId="3" borderId="13" xfId="0" applyFont="1" applyFill="1" applyBorder="1">
      <alignment vertical="center"/>
    </xf>
    <xf numFmtId="0" fontId="5" fillId="3" borderId="0" xfId="0" applyFont="1" applyFill="1">
      <alignment vertical="center"/>
    </xf>
    <xf numFmtId="0" fontId="5" fillId="3" borderId="0" xfId="0" applyFont="1" applyFill="1" applyAlignment="1">
      <alignment horizontal="left" vertical="center"/>
    </xf>
    <xf numFmtId="0" fontId="0" fillId="2" borderId="3" xfId="0" applyFill="1" applyBorder="1">
      <alignment vertical="center"/>
    </xf>
    <xf numFmtId="0" fontId="0" fillId="2" borderId="12" xfId="0" applyFill="1" applyBorder="1">
      <alignment vertical="center"/>
    </xf>
    <xf numFmtId="0" fontId="5" fillId="3" borderId="14" xfId="0" applyFont="1" applyFill="1" applyBorder="1">
      <alignment vertical="center"/>
    </xf>
    <xf numFmtId="0" fontId="5" fillId="3" borderId="7" xfId="0" applyFont="1" applyFill="1" applyBorder="1">
      <alignment vertical="center"/>
    </xf>
    <xf numFmtId="0" fontId="5" fillId="3" borderId="3" xfId="0" applyFont="1" applyFill="1" applyBorder="1">
      <alignment vertical="center"/>
    </xf>
    <xf numFmtId="0" fontId="5" fillId="3" borderId="4" xfId="0" applyFont="1" applyFill="1" applyBorder="1">
      <alignment vertical="center"/>
    </xf>
    <xf numFmtId="0" fontId="5" fillId="3" borderId="14" xfId="0" applyFont="1" applyFill="1" applyBorder="1" applyAlignment="1">
      <alignment horizontal="left" vertical="center"/>
    </xf>
    <xf numFmtId="0" fontId="5" fillId="4" borderId="3" xfId="0" applyFont="1" applyFill="1" applyBorder="1">
      <alignment vertical="center"/>
    </xf>
    <xf numFmtId="0" fontId="5" fillId="4" borderId="9" xfId="0" applyFont="1" applyFill="1" applyBorder="1">
      <alignment vertical="center"/>
    </xf>
    <xf numFmtId="0" fontId="6" fillId="4" borderId="14" xfId="0" applyFont="1" applyFill="1" applyBorder="1">
      <alignment vertical="center"/>
    </xf>
    <xf numFmtId="0" fontId="5" fillId="4" borderId="14" xfId="0" applyFont="1" applyFill="1" applyBorder="1">
      <alignment vertical="center"/>
    </xf>
    <xf numFmtId="0" fontId="5" fillId="5" borderId="9" xfId="0" applyFont="1" applyFill="1" applyBorder="1">
      <alignment vertical="center"/>
    </xf>
    <xf numFmtId="0" fontId="5" fillId="5" borderId="11" xfId="0" applyFont="1" applyFill="1" applyBorder="1" applyAlignment="1">
      <alignment horizontal="left" vertical="center"/>
    </xf>
    <xf numFmtId="0" fontId="0" fillId="2" borderId="2" xfId="0" applyFill="1" applyBorder="1">
      <alignment vertical="center"/>
    </xf>
    <xf numFmtId="0" fontId="8" fillId="0" borderId="0" xfId="0" applyFont="1">
      <alignment vertical="center"/>
    </xf>
    <xf numFmtId="0" fontId="0" fillId="3" borderId="9" xfId="0" applyFill="1" applyBorder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0" fillId="5" borderId="12" xfId="0" applyFill="1" applyBorder="1">
      <alignment vertical="center"/>
    </xf>
    <xf numFmtId="0" fontId="0" fillId="5" borderId="9" xfId="0" applyFill="1" applyBorder="1">
      <alignment vertical="center"/>
    </xf>
    <xf numFmtId="0" fontId="3" fillId="5" borderId="15" xfId="0" applyFont="1" applyFill="1" applyBorder="1">
      <alignment vertical="center"/>
    </xf>
    <xf numFmtId="0" fontId="0" fillId="3" borderId="16" xfId="0" applyFill="1" applyBorder="1">
      <alignment vertical="center"/>
    </xf>
    <xf numFmtId="0" fontId="0" fillId="3" borderId="13" xfId="0" applyFill="1" applyBorder="1">
      <alignment vertical="center"/>
    </xf>
    <xf numFmtId="0" fontId="5" fillId="3" borderId="16" xfId="0" applyFont="1" applyFill="1" applyBorder="1">
      <alignment vertical="center"/>
    </xf>
    <xf numFmtId="0" fontId="5" fillId="3" borderId="13" xfId="0" applyFont="1" applyFill="1" applyBorder="1">
      <alignment vertical="center"/>
    </xf>
    <xf numFmtId="0" fontId="0" fillId="3" borderId="12" xfId="0" applyFill="1" applyBorder="1">
      <alignment vertical="center"/>
    </xf>
    <xf numFmtId="0" fontId="0" fillId="4" borderId="16" xfId="0" applyFill="1" applyBorder="1">
      <alignment vertical="center"/>
    </xf>
    <xf numFmtId="0" fontId="0" fillId="4" borderId="13" xfId="0" applyFill="1" applyBorder="1">
      <alignment vertical="center"/>
    </xf>
    <xf numFmtId="0" fontId="0" fillId="4" borderId="5" xfId="0" applyFill="1" applyBorder="1">
      <alignment vertical="center"/>
    </xf>
    <xf numFmtId="0" fontId="0" fillId="0" borderId="16" xfId="0" applyBorder="1">
      <alignment vertical="center"/>
    </xf>
    <xf numFmtId="0" fontId="0" fillId="0" borderId="5" xfId="0" applyBorder="1">
      <alignment vertical="center"/>
    </xf>
    <xf numFmtId="0" fontId="0" fillId="0" borderId="2" xfId="0" applyBorder="1">
      <alignment vertical="center"/>
    </xf>
    <xf numFmtId="38" fontId="0" fillId="0" borderId="2" xfId="1" applyFont="1" applyBorder="1">
      <alignment vertical="center"/>
    </xf>
    <xf numFmtId="0" fontId="0" fillId="2" borderId="16" xfId="0" applyFill="1" applyBorder="1">
      <alignment vertical="center"/>
    </xf>
    <xf numFmtId="0" fontId="0" fillId="2" borderId="13" xfId="0" applyFill="1" applyBorder="1">
      <alignment vertical="center"/>
    </xf>
    <xf numFmtId="40" fontId="0" fillId="5" borderId="1" xfId="1" applyNumberFormat="1" applyFont="1" applyFill="1" applyBorder="1">
      <alignment vertical="center"/>
    </xf>
    <xf numFmtId="38" fontId="0" fillId="3" borderId="2" xfId="1" applyFont="1" applyFill="1" applyBorder="1">
      <alignment vertical="center"/>
    </xf>
    <xf numFmtId="176" fontId="0" fillId="0" borderId="0" xfId="1" applyNumberFormat="1" applyFont="1" applyAlignment="1">
      <alignment horizontal="left" vertical="center"/>
    </xf>
    <xf numFmtId="177" fontId="0" fillId="0" borderId="0" xfId="1" applyNumberFormat="1" applyFont="1" applyAlignment="1">
      <alignment horizontal="left" vertical="center"/>
    </xf>
    <xf numFmtId="40" fontId="0" fillId="0" borderId="0" xfId="1" applyNumberFormat="1" applyFont="1" applyAlignment="1">
      <alignment horizontal="right" vertical="center"/>
    </xf>
    <xf numFmtId="178" fontId="0" fillId="0" borderId="3" xfId="0" applyNumberFormat="1" applyBorder="1">
      <alignment vertical="center"/>
    </xf>
    <xf numFmtId="178" fontId="0" fillId="0" borderId="14" xfId="0" applyNumberFormat="1" applyBorder="1">
      <alignment vertical="center"/>
    </xf>
    <xf numFmtId="178" fontId="0" fillId="0" borderId="4" xfId="0" applyNumberFormat="1" applyBorder="1">
      <alignment vertical="center"/>
    </xf>
    <xf numFmtId="49" fontId="0" fillId="0" borderId="6" xfId="0" applyNumberFormat="1" applyBorder="1">
      <alignment vertical="center"/>
    </xf>
    <xf numFmtId="49" fontId="0" fillId="0" borderId="8" xfId="0" applyNumberFormat="1" applyBorder="1">
      <alignment vertical="center"/>
    </xf>
    <xf numFmtId="49" fontId="0" fillId="0" borderId="7" xfId="0" applyNumberFormat="1" applyBorder="1">
      <alignment vertical="center"/>
    </xf>
    <xf numFmtId="179" fontId="0" fillId="0" borderId="6" xfId="0" applyNumberFormat="1" applyBorder="1">
      <alignment vertical="center"/>
    </xf>
    <xf numFmtId="179" fontId="0" fillId="0" borderId="8" xfId="0" applyNumberFormat="1" applyBorder="1">
      <alignment vertical="center"/>
    </xf>
    <xf numFmtId="179" fontId="0" fillId="0" borderId="7" xfId="0" applyNumberFormat="1" applyBorder="1">
      <alignment vertical="center"/>
    </xf>
    <xf numFmtId="49" fontId="0" fillId="0" borderId="9" xfId="0" applyNumberFormat="1" applyBorder="1" applyAlignment="1">
      <alignment horizontal="left" vertical="center"/>
    </xf>
    <xf numFmtId="49" fontId="0" fillId="0" borderId="10" xfId="0" applyNumberFormat="1" applyBorder="1" applyAlignment="1">
      <alignment horizontal="left" vertical="center"/>
    </xf>
    <xf numFmtId="49" fontId="0" fillId="0" borderId="11" xfId="0" applyNumberFormat="1" applyBorder="1" applyAlignment="1">
      <alignment horizontal="left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12A47-BB89-414F-BBD2-FED3AE988DBE}">
  <sheetPr codeName="Sheet1"/>
  <dimension ref="A1:K61"/>
  <sheetViews>
    <sheetView tabSelected="1" view="pageBreakPreview" zoomScaleNormal="100" zoomScaleSheetLayoutView="100" workbookViewId="0"/>
  </sheetViews>
  <sheetFormatPr defaultRowHeight="18.75" x14ac:dyDescent="0.4"/>
  <cols>
    <col min="1" max="1" width="16.25" customWidth="1"/>
    <col min="2" max="3" width="8.75" customWidth="1"/>
    <col min="4" max="4" width="30.625" customWidth="1"/>
    <col min="5" max="6" width="8.75" customWidth="1"/>
    <col min="7" max="7" width="15" customWidth="1"/>
    <col min="8" max="8" width="12.5" customWidth="1"/>
  </cols>
  <sheetData>
    <row r="1" spans="1:9" x14ac:dyDescent="0.4">
      <c r="A1" s="2" t="s">
        <v>15</v>
      </c>
      <c r="E1" t="s">
        <v>13</v>
      </c>
    </row>
    <row r="2" spans="1:9" x14ac:dyDescent="0.4">
      <c r="A2" s="19" t="s">
        <v>20</v>
      </c>
      <c r="F2" s="1" t="s">
        <v>24</v>
      </c>
      <c r="G2" s="76">
        <f>G43-G15</f>
        <v>0</v>
      </c>
    </row>
    <row r="3" spans="1:9" x14ac:dyDescent="0.4">
      <c r="F3" s="1" t="s">
        <v>25</v>
      </c>
      <c r="G3" s="76">
        <f>G2-G17</f>
        <v>0</v>
      </c>
    </row>
    <row r="4" spans="1:9" x14ac:dyDescent="0.4">
      <c r="A4" t="s">
        <v>1</v>
      </c>
      <c r="F4" s="1" t="s">
        <v>26</v>
      </c>
      <c r="G4" s="76">
        <f>G3-G36-G38</f>
        <v>0</v>
      </c>
    </row>
    <row r="5" spans="1:9" x14ac:dyDescent="0.4">
      <c r="B5" s="1" t="s">
        <v>16</v>
      </c>
      <c r="C5" s="19"/>
      <c r="F5" s="1" t="s">
        <v>45</v>
      </c>
      <c r="G5" s="76">
        <f>G4-(G37+G39)</f>
        <v>0</v>
      </c>
    </row>
    <row r="6" spans="1:9" x14ac:dyDescent="0.4">
      <c r="B6" s="1" t="s">
        <v>17</v>
      </c>
      <c r="C6" s="19"/>
      <c r="F6" s="1" t="s">
        <v>46</v>
      </c>
      <c r="G6" s="76">
        <f>G5-SUM(G24:G33)</f>
        <v>0</v>
      </c>
    </row>
    <row r="7" spans="1:9" x14ac:dyDescent="0.4">
      <c r="B7" s="1" t="s">
        <v>18</v>
      </c>
      <c r="C7" s="19"/>
      <c r="F7" s="1" t="s">
        <v>47</v>
      </c>
      <c r="G7" s="76">
        <f>G6-_xlfn.XLOOKUP("*計量・梱包*",D16:D23,G16:G23,0,2)</f>
        <v>0</v>
      </c>
    </row>
    <row r="8" spans="1:9" x14ac:dyDescent="0.4">
      <c r="B8" s="1" t="s">
        <v>19</v>
      </c>
      <c r="C8" s="19"/>
      <c r="F8" s="1"/>
      <c r="G8" s="76"/>
    </row>
    <row r="9" spans="1:9" x14ac:dyDescent="0.4">
      <c r="B9" s="1" t="s">
        <v>21</v>
      </c>
      <c r="C9" s="19"/>
      <c r="F9" s="1" t="s">
        <v>48</v>
      </c>
      <c r="G9" s="76" t="e">
        <f>G7*C11/G12</f>
        <v>#DIV/0!</v>
      </c>
      <c r="H9" t="s">
        <v>53</v>
      </c>
      <c r="I9" s="4"/>
    </row>
    <row r="10" spans="1:9" x14ac:dyDescent="0.4">
      <c r="C10" s="19"/>
      <c r="F10" s="1" t="s">
        <v>50</v>
      </c>
      <c r="G10" s="76"/>
      <c r="H10" t="s">
        <v>54</v>
      </c>
      <c r="I10" s="4"/>
    </row>
    <row r="11" spans="1:9" x14ac:dyDescent="0.4">
      <c r="B11" s="1" t="s">
        <v>22</v>
      </c>
      <c r="C11" s="75"/>
      <c r="F11" s="1" t="s">
        <v>49</v>
      </c>
      <c r="G11" s="76"/>
      <c r="H11" s="3" t="s">
        <v>52</v>
      </c>
    </row>
    <row r="12" spans="1:9" x14ac:dyDescent="0.4">
      <c r="B12" s="1" t="s">
        <v>23</v>
      </c>
      <c r="C12" s="74"/>
      <c r="F12" s="1" t="s">
        <v>27</v>
      </c>
      <c r="G12" s="76"/>
      <c r="H12" s="3"/>
    </row>
    <row r="13" spans="1:9" x14ac:dyDescent="0.4">
      <c r="C13" s="19"/>
      <c r="D13" s="19"/>
      <c r="E13" s="19"/>
      <c r="F13" s="1" t="s">
        <v>51</v>
      </c>
      <c r="G13" s="76" t="e">
        <f>SUM(G9:G11)</f>
        <v>#DIV/0!</v>
      </c>
      <c r="H13" s="3"/>
    </row>
    <row r="14" spans="1:9" x14ac:dyDescent="0.4">
      <c r="A14" s="66" t="s">
        <v>41</v>
      </c>
      <c r="B14" s="67"/>
      <c r="C14" s="68" t="s">
        <v>37</v>
      </c>
      <c r="D14" s="68" t="s">
        <v>40</v>
      </c>
      <c r="E14" s="68" t="s">
        <v>38</v>
      </c>
      <c r="F14" s="68" t="s">
        <v>39</v>
      </c>
      <c r="G14" s="69"/>
      <c r="H14" s="16"/>
    </row>
    <row r="15" spans="1:9" x14ac:dyDescent="0.4">
      <c r="A15" s="37" t="s">
        <v>0</v>
      </c>
      <c r="B15" s="38"/>
      <c r="C15" s="50" t="s">
        <v>0</v>
      </c>
      <c r="D15" s="70"/>
      <c r="E15" s="71"/>
      <c r="F15" s="31"/>
      <c r="G15" s="20"/>
    </row>
    <row r="16" spans="1:9" x14ac:dyDescent="0.4">
      <c r="A16" s="41" t="s">
        <v>3</v>
      </c>
      <c r="B16" s="41" t="s">
        <v>31</v>
      </c>
      <c r="C16" s="28" t="s">
        <v>4</v>
      </c>
      <c r="D16" s="32"/>
      <c r="E16" s="32"/>
      <c r="F16" s="32"/>
      <c r="G16" s="8"/>
      <c r="H16" t="s">
        <v>42</v>
      </c>
      <c r="I16" s="4"/>
    </row>
    <row r="17" spans="1:11" x14ac:dyDescent="0.4">
      <c r="A17" s="39"/>
      <c r="B17" s="39"/>
      <c r="C17" s="22"/>
      <c r="D17" s="21"/>
      <c r="E17" s="21"/>
      <c r="F17" s="73"/>
      <c r="G17" s="9"/>
      <c r="H17" t="s">
        <v>43</v>
      </c>
      <c r="I17" s="4"/>
    </row>
    <row r="18" spans="1:11" x14ac:dyDescent="0.4">
      <c r="A18" s="39"/>
      <c r="B18" s="39"/>
      <c r="C18" s="22"/>
      <c r="D18" s="58"/>
      <c r="E18" s="59"/>
      <c r="F18" s="21"/>
      <c r="G18" s="9"/>
      <c r="I18" s="4"/>
    </row>
    <row r="19" spans="1:11" x14ac:dyDescent="0.4">
      <c r="A19" s="39"/>
      <c r="B19" s="39"/>
      <c r="C19" s="22"/>
      <c r="D19" s="21"/>
      <c r="E19" s="21"/>
      <c r="F19" s="21"/>
      <c r="G19" s="17"/>
      <c r="I19" s="4"/>
      <c r="J19" s="51"/>
    </row>
    <row r="20" spans="1:11" x14ac:dyDescent="0.4">
      <c r="A20" s="39"/>
      <c r="B20" s="39"/>
      <c r="C20" s="22"/>
      <c r="D20" s="21"/>
      <c r="E20" s="21"/>
      <c r="F20" s="21"/>
      <c r="G20" s="17"/>
      <c r="I20" s="4"/>
    </row>
    <row r="21" spans="1:11" x14ac:dyDescent="0.4">
      <c r="A21" s="39"/>
      <c r="B21" s="39"/>
      <c r="C21" s="22"/>
      <c r="D21" s="21"/>
      <c r="E21" s="21"/>
      <c r="F21" s="21"/>
      <c r="G21" s="17"/>
      <c r="I21" s="4"/>
    </row>
    <row r="22" spans="1:11" x14ac:dyDescent="0.4">
      <c r="A22" s="39"/>
      <c r="B22" s="39"/>
      <c r="C22" s="22"/>
      <c r="D22" s="21"/>
      <c r="E22" s="21"/>
      <c r="F22" s="21"/>
      <c r="G22" s="17"/>
      <c r="I22" s="4"/>
    </row>
    <row r="23" spans="1:11" x14ac:dyDescent="0.4">
      <c r="A23" s="39"/>
      <c r="B23" s="39"/>
      <c r="C23" s="40"/>
      <c r="D23" s="21"/>
      <c r="E23" s="21"/>
      <c r="F23" s="21"/>
      <c r="G23" s="17"/>
      <c r="I23" s="4"/>
    </row>
    <row r="24" spans="1:11" x14ac:dyDescent="0.4">
      <c r="A24" s="39"/>
      <c r="B24" s="39"/>
      <c r="C24" s="28" t="s">
        <v>2</v>
      </c>
      <c r="D24" s="21"/>
      <c r="E24" s="21"/>
      <c r="F24" s="21"/>
      <c r="G24" s="17"/>
      <c r="H24" s="51"/>
    </row>
    <row r="25" spans="1:11" x14ac:dyDescent="0.4">
      <c r="A25" s="39"/>
      <c r="B25" s="39"/>
      <c r="C25" s="22"/>
      <c r="D25" s="21"/>
      <c r="E25" s="21"/>
      <c r="F25" s="21"/>
      <c r="G25" s="17"/>
    </row>
    <row r="26" spans="1:11" x14ac:dyDescent="0.4">
      <c r="A26" s="39"/>
      <c r="B26" s="39"/>
      <c r="C26" s="22"/>
      <c r="D26" s="21"/>
      <c r="E26" s="21"/>
      <c r="F26" s="21"/>
      <c r="G26" s="17"/>
    </row>
    <row r="27" spans="1:11" x14ac:dyDescent="0.4">
      <c r="A27" s="39"/>
      <c r="B27" s="39"/>
      <c r="C27" s="22"/>
      <c r="D27" s="21"/>
      <c r="E27" s="21"/>
      <c r="F27" s="21"/>
      <c r="G27" s="17"/>
    </row>
    <row r="28" spans="1:11" x14ac:dyDescent="0.4">
      <c r="A28" s="39"/>
      <c r="B28" s="39"/>
      <c r="C28" s="22"/>
      <c r="D28" s="21"/>
      <c r="E28" s="21"/>
      <c r="F28" s="21"/>
      <c r="G28" s="17"/>
    </row>
    <row r="29" spans="1:11" x14ac:dyDescent="0.4">
      <c r="A29" s="39"/>
      <c r="B29" s="39"/>
      <c r="C29" s="22"/>
      <c r="D29" s="21"/>
      <c r="E29" s="21"/>
      <c r="F29" s="21"/>
      <c r="G29" s="17"/>
      <c r="K29" s="51"/>
    </row>
    <row r="30" spans="1:11" x14ac:dyDescent="0.4">
      <c r="A30" s="39"/>
      <c r="B30" s="39"/>
      <c r="C30" s="22"/>
      <c r="D30" s="21"/>
      <c r="E30" s="21"/>
      <c r="F30" s="21"/>
      <c r="G30" s="17"/>
      <c r="K30" s="51"/>
    </row>
    <row r="31" spans="1:11" x14ac:dyDescent="0.4">
      <c r="A31" s="39"/>
      <c r="B31" s="39"/>
      <c r="C31" s="22"/>
      <c r="D31" s="21"/>
      <c r="E31" s="21"/>
      <c r="F31" s="21"/>
      <c r="G31" s="17"/>
      <c r="K31" s="51"/>
    </row>
    <row r="32" spans="1:11" x14ac:dyDescent="0.4">
      <c r="A32" s="39"/>
      <c r="B32" s="39"/>
      <c r="C32" s="22"/>
      <c r="D32" s="21"/>
      <c r="E32" s="21"/>
      <c r="F32" s="21"/>
      <c r="G32" s="17"/>
      <c r="K32" s="51"/>
    </row>
    <row r="33" spans="1:8" x14ac:dyDescent="0.4">
      <c r="A33" s="39"/>
      <c r="B33" s="39"/>
      <c r="C33" s="40"/>
      <c r="D33" s="21"/>
      <c r="E33" s="21"/>
      <c r="F33" s="21"/>
      <c r="G33" s="17"/>
    </row>
    <row r="34" spans="1:8" x14ac:dyDescent="0.4">
      <c r="A34" s="39"/>
      <c r="B34" s="39"/>
      <c r="C34" s="28"/>
      <c r="D34" s="58" t="s">
        <v>34</v>
      </c>
      <c r="E34" s="59"/>
      <c r="F34" s="21"/>
      <c r="G34" s="17">
        <f>SUM(G16:G33)</f>
        <v>0</v>
      </c>
    </row>
    <row r="35" spans="1:8" x14ac:dyDescent="0.4">
      <c r="A35" s="39"/>
      <c r="B35" s="39"/>
      <c r="C35" s="22"/>
      <c r="D35" s="58"/>
      <c r="E35" s="59"/>
      <c r="F35" s="21"/>
      <c r="G35" s="17">
        <f>ROUNDUP(G34*0.2,2)</f>
        <v>0</v>
      </c>
    </row>
    <row r="36" spans="1:8" x14ac:dyDescent="0.4">
      <c r="A36" s="39"/>
      <c r="B36" s="41" t="s">
        <v>32</v>
      </c>
      <c r="C36" s="28"/>
      <c r="D36" s="59"/>
      <c r="E36" s="59"/>
      <c r="F36" s="21"/>
      <c r="G36" s="17"/>
    </row>
    <row r="37" spans="1:8" x14ac:dyDescent="0.4">
      <c r="A37" s="39"/>
      <c r="B37" s="39"/>
      <c r="C37" s="22"/>
      <c r="D37" s="59"/>
      <c r="E37" s="59"/>
      <c r="F37" s="21"/>
      <c r="G37" s="17"/>
    </row>
    <row r="38" spans="1:8" x14ac:dyDescent="0.4">
      <c r="A38" s="39"/>
      <c r="B38" s="39"/>
      <c r="C38" s="28"/>
      <c r="D38" s="59"/>
      <c r="E38" s="59"/>
      <c r="F38" s="21"/>
      <c r="G38" s="17"/>
    </row>
    <row r="39" spans="1:8" x14ac:dyDescent="0.4">
      <c r="A39" s="39"/>
      <c r="B39" s="42"/>
      <c r="C39" s="40"/>
      <c r="D39" s="59"/>
      <c r="E39" s="59"/>
      <c r="F39" s="21"/>
      <c r="G39" s="17"/>
    </row>
    <row r="40" spans="1:8" x14ac:dyDescent="0.4">
      <c r="A40" s="39"/>
      <c r="B40" s="35"/>
      <c r="C40" s="22"/>
      <c r="D40" s="60" t="s">
        <v>29</v>
      </c>
      <c r="E40" s="61"/>
      <c r="F40" s="33"/>
      <c r="G40" s="17">
        <f>G15+SUM(G34:G39)</f>
        <v>0</v>
      </c>
      <c r="H40" s="51" t="s">
        <v>35</v>
      </c>
    </row>
    <row r="41" spans="1:8" x14ac:dyDescent="0.4">
      <c r="A41" s="39"/>
      <c r="B41" s="35"/>
      <c r="C41" s="22"/>
      <c r="D41" s="58" t="s">
        <v>28</v>
      </c>
      <c r="E41" s="62"/>
      <c r="F41" s="52"/>
      <c r="G41" s="18"/>
    </row>
    <row r="42" spans="1:8" ht="19.5" thickBot="1" x14ac:dyDescent="0.45">
      <c r="A42" s="39"/>
      <c r="B42" s="35"/>
      <c r="C42" s="22"/>
      <c r="D42" s="58" t="s">
        <v>30</v>
      </c>
      <c r="E42" s="59"/>
      <c r="F42" s="21"/>
      <c r="G42" s="17">
        <f>ROUNDUP(G34*G41,2)</f>
        <v>0</v>
      </c>
      <c r="H42" t="s">
        <v>36</v>
      </c>
    </row>
    <row r="43" spans="1:8" ht="19.5" thickBot="1" x14ac:dyDescent="0.45">
      <c r="A43" s="43"/>
      <c r="B43" s="36"/>
      <c r="C43" s="29"/>
      <c r="D43" s="34" t="s">
        <v>9</v>
      </c>
      <c r="E43" s="53"/>
      <c r="F43" s="53"/>
      <c r="G43" s="10">
        <f>G40+G42</f>
        <v>0</v>
      </c>
      <c r="H43" t="s">
        <v>14</v>
      </c>
    </row>
    <row r="44" spans="1:8" x14ac:dyDescent="0.4">
      <c r="A44" s="44" t="s">
        <v>5</v>
      </c>
      <c r="B44" s="45"/>
      <c r="C44" s="23" t="s">
        <v>6</v>
      </c>
      <c r="D44" s="63" t="s">
        <v>33</v>
      </c>
      <c r="E44" s="64"/>
      <c r="F44" s="65"/>
      <c r="G44" s="11"/>
    </row>
    <row r="45" spans="1:8" x14ac:dyDescent="0.4">
      <c r="A45" s="46" t="s">
        <v>44</v>
      </c>
      <c r="B45" s="30"/>
      <c r="C45" s="24" t="s">
        <v>7</v>
      </c>
      <c r="D45" s="63"/>
      <c r="E45" s="64"/>
      <c r="F45" s="65"/>
      <c r="G45" s="12"/>
    </row>
    <row r="46" spans="1:8" ht="19.5" thickBot="1" x14ac:dyDescent="0.45">
      <c r="A46" s="47"/>
      <c r="B46" s="24"/>
      <c r="C46" s="24"/>
      <c r="D46" s="63"/>
      <c r="E46" s="64"/>
      <c r="F46" s="65"/>
      <c r="G46" s="13"/>
    </row>
    <row r="47" spans="1:8" ht="19.5" thickBot="1" x14ac:dyDescent="0.45">
      <c r="A47" s="47"/>
      <c r="B47" s="24"/>
      <c r="C47" s="25"/>
      <c r="D47" s="5" t="s">
        <v>11</v>
      </c>
      <c r="E47" s="54"/>
      <c r="F47" s="54"/>
      <c r="G47" s="14">
        <f>SUM(G44:G46)</f>
        <v>0</v>
      </c>
    </row>
    <row r="48" spans="1:8" ht="19.5" thickBot="1" x14ac:dyDescent="0.45">
      <c r="A48" s="26" t="s">
        <v>8</v>
      </c>
      <c r="B48" s="48"/>
      <c r="C48" s="48"/>
      <c r="D48" s="6"/>
      <c r="E48" s="55"/>
      <c r="F48" s="56"/>
      <c r="G48" s="15"/>
    </row>
    <row r="49" spans="1:8" ht="19.5" thickBot="1" x14ac:dyDescent="0.45">
      <c r="A49" s="27"/>
      <c r="B49" s="49"/>
      <c r="C49" s="49"/>
      <c r="D49" s="7" t="s">
        <v>12</v>
      </c>
      <c r="E49" s="57"/>
      <c r="F49" s="57"/>
      <c r="G49" s="72">
        <f>G43+G47</f>
        <v>0</v>
      </c>
      <c r="H49" t="s">
        <v>10</v>
      </c>
    </row>
    <row r="51" spans="1:8" x14ac:dyDescent="0.4">
      <c r="C51" t="s">
        <v>56</v>
      </c>
      <c r="D51" s="80"/>
      <c r="E51" s="77"/>
      <c r="F51" s="86"/>
      <c r="G51" s="83"/>
    </row>
    <row r="52" spans="1:8" x14ac:dyDescent="0.4">
      <c r="D52" s="81"/>
      <c r="E52" s="78"/>
      <c r="F52" s="87"/>
      <c r="G52" s="84"/>
    </row>
    <row r="53" spans="1:8" x14ac:dyDescent="0.4">
      <c r="D53" s="81"/>
      <c r="E53" s="78"/>
      <c r="F53" s="87"/>
      <c r="G53" s="84"/>
    </row>
    <row r="54" spans="1:8" x14ac:dyDescent="0.4">
      <c r="D54" s="81"/>
      <c r="E54" s="78"/>
      <c r="F54" s="87"/>
      <c r="G54" s="84"/>
    </row>
    <row r="55" spans="1:8" x14ac:dyDescent="0.4">
      <c r="D55" s="81"/>
      <c r="E55" s="78"/>
      <c r="F55" s="87"/>
      <c r="G55" s="84"/>
    </row>
    <row r="56" spans="1:8" x14ac:dyDescent="0.4">
      <c r="D56" s="81"/>
      <c r="E56" s="78"/>
      <c r="F56" s="87"/>
      <c r="G56" s="84"/>
    </row>
    <row r="57" spans="1:8" x14ac:dyDescent="0.4">
      <c r="D57" s="81"/>
      <c r="E57" s="78"/>
      <c r="F57" s="87"/>
      <c r="G57" s="84"/>
    </row>
    <row r="58" spans="1:8" x14ac:dyDescent="0.4">
      <c r="D58" s="81"/>
      <c r="E58" s="78"/>
      <c r="F58" s="87"/>
      <c r="G58" s="84"/>
    </row>
    <row r="59" spans="1:8" x14ac:dyDescent="0.4">
      <c r="D59" s="81"/>
      <c r="E59" s="78"/>
      <c r="F59" s="87"/>
      <c r="G59" s="84"/>
    </row>
    <row r="60" spans="1:8" x14ac:dyDescent="0.4">
      <c r="D60" s="81"/>
      <c r="E60" s="78"/>
      <c r="F60" s="87"/>
      <c r="G60" s="84"/>
    </row>
    <row r="61" spans="1:8" x14ac:dyDescent="0.4">
      <c r="D61" s="82"/>
      <c r="E61" s="79"/>
      <c r="F61" s="88"/>
      <c r="G61" s="85"/>
    </row>
  </sheetData>
  <phoneticPr fontId="2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0" orientation="portrait" verticalDpi="0" r:id="rId1"/>
  <ignoredErrors>
    <ignoredError sqref="G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DD052-5447-474E-858B-EB36881A297F}">
  <dimension ref="A1:C15"/>
  <sheetViews>
    <sheetView workbookViewId="0">
      <pane xSplit="3" ySplit="15" topLeftCell="D16" activePane="bottomRight" state="frozen"/>
      <selection pane="topRight" activeCell="D1" sqref="D1"/>
      <selection pane="bottomLeft" activeCell="A16" sqref="A16"/>
      <selection pane="bottomRight"/>
    </sheetView>
  </sheetViews>
  <sheetFormatPr defaultRowHeight="18.75" x14ac:dyDescent="0.4"/>
  <cols>
    <col min="1" max="1" width="11" bestFit="1" customWidth="1"/>
    <col min="2" max="2" width="25" customWidth="1"/>
    <col min="3" max="3" width="37.25" customWidth="1"/>
  </cols>
  <sheetData>
    <row r="1" spans="1:3" x14ac:dyDescent="0.4">
      <c r="A1" s="1" t="s">
        <v>16</v>
      </c>
      <c r="B1">
        <f>原価見積りシート!C5</f>
        <v>0</v>
      </c>
      <c r="C1" t="s">
        <v>55</v>
      </c>
    </row>
    <row r="2" spans="1:3" x14ac:dyDescent="0.4">
      <c r="A2" s="1" t="s">
        <v>17</v>
      </c>
      <c r="B2">
        <f>原価見積りシート!C6</f>
        <v>0</v>
      </c>
    </row>
    <row r="3" spans="1:3" x14ac:dyDescent="0.4">
      <c r="A3" s="1" t="s">
        <v>18</v>
      </c>
      <c r="B3">
        <f>原価見積りシート!C7</f>
        <v>0</v>
      </c>
      <c r="C3" t="s">
        <v>22</v>
      </c>
    </row>
    <row r="4" spans="1:3" x14ac:dyDescent="0.4">
      <c r="A4" s="1" t="s">
        <v>19</v>
      </c>
      <c r="B4">
        <f>原価見積りシート!C8</f>
        <v>0</v>
      </c>
      <c r="C4" t="s">
        <v>24</v>
      </c>
    </row>
    <row r="5" spans="1:3" x14ac:dyDescent="0.4">
      <c r="A5" s="1" t="s">
        <v>21</v>
      </c>
      <c r="B5">
        <f>原価見積りシート!C9</f>
        <v>0</v>
      </c>
      <c r="C5" t="s">
        <v>25</v>
      </c>
    </row>
    <row r="6" spans="1:3" x14ac:dyDescent="0.4">
      <c r="A6" s="1"/>
      <c r="C6" t="s">
        <v>26</v>
      </c>
    </row>
    <row r="7" spans="1:3" x14ac:dyDescent="0.4">
      <c r="C7" t="s">
        <v>45</v>
      </c>
    </row>
    <row r="8" spans="1:3" x14ac:dyDescent="0.4">
      <c r="A8" s="1"/>
      <c r="C8" t="s">
        <v>46</v>
      </c>
    </row>
    <row r="9" spans="1:3" x14ac:dyDescent="0.4">
      <c r="C9" t="s">
        <v>47</v>
      </c>
    </row>
    <row r="11" spans="1:3" x14ac:dyDescent="0.4">
      <c r="C11" t="s">
        <v>48</v>
      </c>
    </row>
    <row r="12" spans="1:3" x14ac:dyDescent="0.4">
      <c r="C12" t="s">
        <v>50</v>
      </c>
    </row>
    <row r="13" spans="1:3" x14ac:dyDescent="0.4">
      <c r="C13" t="s">
        <v>49</v>
      </c>
    </row>
    <row r="14" spans="1:3" x14ac:dyDescent="0.4">
      <c r="C14" t="s">
        <v>27</v>
      </c>
    </row>
    <row r="15" spans="1:3" x14ac:dyDescent="0.4">
      <c r="C15" t="s">
        <v>51</v>
      </c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原価見積りシート</vt:lpstr>
      <vt:lpstr>比較表</vt:lpstr>
      <vt:lpstr>原価見積りシート!Print_Area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2026-10-09T07:23:24Z</dcterms:created>
  <dcterms:modified xsi:type="dcterms:W3CDTF">2026-10-09T07:23:30Z</dcterms:modified>
</cp:coreProperties>
</file>