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83B573C8-EB41-40B7-BE2A-096875E11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D26" i="3"/>
  <c r="E26" i="3"/>
  <c r="F26" i="3"/>
  <c r="G26" i="3"/>
  <c r="B26" i="3"/>
  <c r="C27" i="3" l="1"/>
  <c r="C28" i="3" s="1"/>
  <c r="D27" i="3"/>
  <c r="D28" i="3" s="1"/>
  <c r="E27" i="3"/>
  <c r="E28" i="3" s="1"/>
  <c r="F27" i="3"/>
  <c r="F28" i="3" s="1"/>
  <c r="G27" i="3"/>
  <c r="G28" i="3" s="1"/>
  <c r="B27" i="3"/>
  <c r="B28" i="3" s="1"/>
  <c r="C27" i="2"/>
  <c r="D27" i="2"/>
  <c r="E27" i="2"/>
  <c r="F27" i="2"/>
  <c r="G27" i="2"/>
  <c r="B27" i="2"/>
  <c r="C26" i="2"/>
  <c r="D26" i="2"/>
  <c r="E26" i="2"/>
  <c r="F26" i="2"/>
  <c r="G26" i="2"/>
  <c r="B26" i="2"/>
  <c r="G18" i="3"/>
  <c r="F18" i="3"/>
  <c r="E18" i="3"/>
  <c r="D18" i="3"/>
  <c r="C18" i="3"/>
  <c r="B18" i="3"/>
  <c r="C18" i="2" l="1"/>
  <c r="D18" i="2"/>
  <c r="E18" i="2"/>
  <c r="F18" i="2"/>
  <c r="G18" i="2"/>
  <c r="B18" i="2"/>
</calcChain>
</file>

<file path=xl/sharedStrings.xml><?xml version="1.0" encoding="utf-8"?>
<sst xmlns="http://schemas.openxmlformats.org/spreadsheetml/2006/main" count="67" uniqueCount="37">
  <si>
    <t>材料</t>
    <rPh sb="0" eb="2">
      <t>ザイリョウ</t>
    </rPh>
    <phoneticPr fontId="1"/>
  </si>
  <si>
    <t>管理費</t>
    <rPh sb="0" eb="3">
      <t>カンリヒ</t>
    </rPh>
    <phoneticPr fontId="1"/>
  </si>
  <si>
    <t>納入梱包形態</t>
    <rPh sb="0" eb="2">
      <t>ノウニュウ</t>
    </rPh>
    <rPh sb="2" eb="4">
      <t>コンポウ</t>
    </rPh>
    <rPh sb="4" eb="6">
      <t>ケイタイ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</si>
  <si>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</si>
  <si>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</si>
  <si>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数量</t>
    <rPh sb="0" eb="2">
      <t>スウリョウ</t>
    </rPh>
    <phoneticPr fontId="1"/>
  </si>
  <si>
    <t>作成日</t>
    <rPh sb="0" eb="3">
      <t>サクセイビ</t>
    </rPh>
    <phoneticPr fontId="1"/>
  </si>
  <si>
    <t>材料費</t>
    <rPh sb="0" eb="3">
      <t>ザイリョウヒ</t>
    </rPh>
    <phoneticPr fontId="1"/>
  </si>
  <si>
    <t>加工費</t>
    <rPh sb="0" eb="3">
      <t>カコウヒ</t>
    </rPh>
    <phoneticPr fontId="1"/>
  </si>
  <si>
    <t>表面処理費</t>
    <rPh sb="0" eb="2">
      <t>ヒョウメン</t>
    </rPh>
    <rPh sb="2" eb="4">
      <t>ショリ</t>
    </rPh>
    <rPh sb="4" eb="5">
      <t>ヒ</t>
    </rPh>
    <phoneticPr fontId="1"/>
  </si>
  <si>
    <t>輸送 梱包費</t>
    <rPh sb="0" eb="2">
      <t>ユソウ</t>
    </rPh>
    <rPh sb="3" eb="5">
      <t>コンポウ</t>
    </rPh>
    <rPh sb="5" eb="6">
      <t>ヒ</t>
    </rPh>
    <phoneticPr fontId="1"/>
  </si>
  <si>
    <t>納期</t>
    <rPh sb="0" eb="2">
      <t>ノウキ</t>
    </rPh>
    <phoneticPr fontId="1"/>
  </si>
  <si>
    <t>見積有効期限</t>
    <rPh sb="0" eb="2">
      <t>ミツモ</t>
    </rPh>
    <rPh sb="2" eb="4">
      <t>ユウコウ</t>
    </rPh>
    <rPh sb="4" eb="6">
      <t>キゲン</t>
    </rPh>
    <phoneticPr fontId="1"/>
  </si>
  <si>
    <t>製品納入状態</t>
    <rPh sb="0" eb="2">
      <t>セイヒン</t>
    </rPh>
    <rPh sb="2" eb="4">
      <t>ノウニュウ</t>
    </rPh>
    <rPh sb="4" eb="6">
      <t>ジョウタイ</t>
    </rPh>
    <phoneticPr fontId="1"/>
  </si>
  <si>
    <t>納入場所</t>
    <rPh sb="0" eb="2">
      <t>ノウニュウ</t>
    </rPh>
    <rPh sb="2" eb="4">
      <t>バショ</t>
    </rPh>
    <phoneticPr fontId="1"/>
  </si>
  <si>
    <t>合計</t>
    <rPh sb="0" eb="2">
      <t>ゴウケイ</t>
    </rPh>
    <phoneticPr fontId="1"/>
  </si>
  <si>
    <t>項目</t>
    <rPh sb="0" eb="2">
      <t>コウモク</t>
    </rPh>
    <phoneticPr fontId="1"/>
  </si>
  <si>
    <t>お見積書NO</t>
    <rPh sb="1" eb="3">
      <t>ミツモ</t>
    </rPh>
    <rPh sb="3" eb="4">
      <t>ショ</t>
    </rPh>
    <phoneticPr fontId="1"/>
  </si>
  <si>
    <t>備考　条件等</t>
    <rPh sb="0" eb="2">
      <t>ビコウ</t>
    </rPh>
    <rPh sb="3" eb="5">
      <t>ジョウケン</t>
    </rPh>
    <rPh sb="5" eb="6">
      <t>トウ</t>
    </rPh>
    <phoneticPr fontId="1"/>
  </si>
  <si>
    <t>　 お見積書</t>
    <rPh sb="3" eb="5">
      <t>ミツモ</t>
    </rPh>
    <rPh sb="5" eb="6">
      <t>ショ</t>
    </rPh>
    <phoneticPr fontId="1"/>
  </si>
  <si>
    <t xml:space="preserve">〒368-0061 </t>
    <phoneticPr fontId="2"/>
  </si>
  <si>
    <t>埼玉県秩父市小柱670</t>
    <phoneticPr fontId="1"/>
  </si>
  <si>
    <t>株式会社　新井精密</t>
    <rPh sb="0" eb="4">
      <t>カブシキガイシャ</t>
    </rPh>
    <rPh sb="5" eb="7">
      <t>アライ</t>
    </rPh>
    <rPh sb="7" eb="9">
      <t>セイミツ</t>
    </rPh>
    <phoneticPr fontId="1"/>
  </si>
  <si>
    <t>TEL 0494-26-7786</t>
    <phoneticPr fontId="1"/>
  </si>
  <si>
    <t>FAX 0494-26-7787</t>
    <phoneticPr fontId="1"/>
  </si>
  <si>
    <t>担当：</t>
    <rPh sb="0" eb="2">
      <t>タントウ</t>
    </rPh>
    <phoneticPr fontId="1"/>
  </si>
  <si>
    <t>初期費用：</t>
    <rPh sb="0" eb="2">
      <t>ショキ</t>
    </rPh>
    <rPh sb="2" eb="4">
      <t>ヒヨウ</t>
    </rPh>
    <phoneticPr fontId="1"/>
  </si>
  <si>
    <t>上記価格に消費税は含まれておりません。</t>
    <rPh sb="0" eb="2">
      <t>ジョウキ</t>
    </rPh>
    <rPh sb="2" eb="4">
      <t>カカク</t>
    </rPh>
    <rPh sb="5" eb="8">
      <t>ショウヒゼイ</t>
    </rPh>
    <rPh sb="9" eb="10">
      <t>フク</t>
    </rPh>
    <phoneticPr fontId="1"/>
  </si>
  <si>
    <t>単価</t>
    <rPh sb="0" eb="2">
      <t>タンカ</t>
    </rPh>
    <phoneticPr fontId="1"/>
  </si>
  <si>
    <t>・機種</t>
    <rPh sb="1" eb="3">
      <t>キシュ</t>
    </rPh>
    <phoneticPr fontId="1"/>
  </si>
  <si>
    <t>・機種C/T</t>
    <rPh sb="1" eb="3">
      <t>キシュ</t>
    </rPh>
    <phoneticPr fontId="1"/>
  </si>
  <si>
    <t>・日産数</t>
    <rPh sb="1" eb="4">
      <t>ニッサンスウ</t>
    </rPh>
    <phoneticPr fontId="1"/>
  </si>
  <si>
    <t>・刃工具費</t>
    <rPh sb="1" eb="5">
      <t>ハコウグヒ</t>
    </rPh>
    <phoneticPr fontId="1"/>
  </si>
  <si>
    <t>原価チャージ</t>
    <rPh sb="0" eb="2">
      <t>ゲンカ</t>
    </rPh>
    <phoneticPr fontId="1"/>
  </si>
  <si>
    <t>占有日数</t>
    <rPh sb="0" eb="2">
      <t>センユウ</t>
    </rPh>
    <rPh sb="2" eb="4">
      <t>ニッスウ</t>
    </rPh>
    <phoneticPr fontId="1"/>
  </si>
  <si>
    <t>チャージ</t>
    <phoneticPr fontId="1"/>
  </si>
  <si>
    <t>単位：円</t>
    <rPh sb="0" eb="2">
      <t>タンイ</t>
    </rPh>
    <rPh sb="3" eb="4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</si>
</sst>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28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4"/>
      <color theme="1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177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77" fontId="0" fillId="2" borderId="1" xfId="0" applyNumberFormat="1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176" fontId="0" fillId="2" borderId="3" xfId="0" applyNumberForma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right" vertical="center"/>
    </xf>
    <xf numFmtId="38" fontId="0" fillId="3" borderId="0" xfId="1" applyFont="1" applyFill="1" applyAlignment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176" fontId="0" fillId="2" borderId="2" xfId="0" applyNumberFormat="1" applyFill="1" applyBorder="1" applyAlignment="1">
      <alignment horizontal="right" vertical="center"/>
    </xf>
    <xf numFmtId="0" fontId="0" fillId="0" borderId="1" xfId="0" applyBorder="1"/>
    <xf numFmtId="0" fontId="0" fillId="0" borderId="12" xfId="0" applyBorder="1" applyAlignment="1">
      <alignment vertical="center"/>
    </xf>
    <xf numFmtId="177" fontId="0" fillId="0" borderId="12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177" fontId="0" fillId="0" borderId="13" xfId="0" applyNumberFormat="1" applyBorder="1" applyAlignment="1">
      <alignment vertical="center"/>
    </xf>
    <xf numFmtId="38" fontId="0" fillId="0" borderId="1" xfId="1" applyFont="1" applyBorder="1" applyAlignment="1"/>
    <xf numFmtId="0" fontId="0" fillId="3" borderId="0" xfId="0" applyFill="1" applyAlignment="1">
      <alignment shrinkToFit="1"/>
    </xf>
    <xf numFmtId="38" fontId="0" fillId="3" borderId="0" xfId="1" applyFont="1" applyFill="1" applyAlignment="1">
      <alignment horizontal="right"/>
    </xf>
    <xf numFmtId="49" fontId="0" fillId="0" borderId="7" xfId="0" applyNumberFormat="1" applyBorder="1"/>
    <xf numFmtId="49" fontId="0" fillId="0" borderId="0" xfId="0" applyNumberForma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9525</xdr:rowOff>
    </xdr:from>
    <xdr:to>
      <xdr:col>1</xdr:col>
      <xdr:colOff>0</xdr:colOff>
      <xdr:row>18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525" y="2819400"/>
          <a:ext cx="1028700" cy="3905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38100</xdr:colOff>
      <xdr:row>5</xdr:row>
      <xdr:rowOff>76200</xdr:rowOff>
    </xdr:from>
    <xdr:to>
      <xdr:col>6</xdr:col>
      <xdr:colOff>95249</xdr:colOff>
      <xdr:row>6</xdr:row>
      <xdr:rowOff>88446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1171575"/>
          <a:ext cx="971549" cy="231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9525</xdr:rowOff>
    </xdr:from>
    <xdr:to>
      <xdr:col>1</xdr:col>
      <xdr:colOff>0</xdr:colOff>
      <xdr:row>18</xdr:row>
      <xdr:rowOff>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9525" y="3219450"/>
          <a:ext cx="1209675" cy="3905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38100</xdr:colOff>
      <xdr:row>5</xdr:row>
      <xdr:rowOff>76200</xdr:rowOff>
    </xdr:from>
    <xdr:to>
      <xdr:col>6</xdr:col>
      <xdr:colOff>95249</xdr:colOff>
      <xdr:row>6</xdr:row>
      <xdr:rowOff>88446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1266825"/>
          <a:ext cx="971549" cy="231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view="pageBreakPreview" zoomScaleNormal="100" zoomScaleSheetLayoutView="100" workbookViewId="0"/>
  </sheetViews>
  <sheetFormatPr defaultRowHeight="13.5" x14ac:dyDescent="0.15"/>
  <cols>
    <col min="1" max="1" width="16" customWidth="1"/>
    <col min="2" max="7" width="12" customWidth="1"/>
  </cols>
  <sheetData>
    <row r="1" spans="1:7" ht="32.25" x14ac:dyDescent="0.3">
      <c r="C1" s="19" t="s">
        <v>19</v>
      </c>
      <c r="D1" s="11"/>
    </row>
    <row r="2" spans="1:7" x14ac:dyDescent="0.15">
      <c r="F2" t="s">
        <v>6</v>
      </c>
      <c r="G2" s="2"/>
    </row>
    <row r="4" spans="1:7" ht="17.25" x14ac:dyDescent="0.2">
      <c r="A4" s="24"/>
      <c r="F4" t="s">
        <v>17</v>
      </c>
    </row>
    <row r="5" spans="1:7" ht="17.25" x14ac:dyDescent="0.2">
      <c r="A5" s="24"/>
    </row>
    <row r="6" spans="1:7" ht="17.25" x14ac:dyDescent="0.2">
      <c r="A6" s="24"/>
    </row>
    <row r="8" spans="1:7" x14ac:dyDescent="0.15">
      <c r="F8" t="s">
        <v>20</v>
      </c>
    </row>
    <row r="9" spans="1:7" x14ac:dyDescent="0.15">
      <c r="F9" t="s">
        <v>21</v>
      </c>
    </row>
    <row r="10" spans="1:7" x14ac:dyDescent="0.15">
      <c r="F10" t="s">
        <v>22</v>
      </c>
    </row>
    <row r="11" spans="1:7" x14ac:dyDescent="0.15">
      <c r="F11" t="s">
        <v>23</v>
      </c>
    </row>
    <row r="12" spans="1:7" x14ac:dyDescent="0.15">
      <c r="F12" t="s">
        <v>24</v>
      </c>
    </row>
    <row r="13" spans="1:7" s="1" customFormat="1" ht="15.95" customHeight="1" x14ac:dyDescent="0.15">
      <c r="A13" s="1" t="s">
        <v>3</v>
      </c>
    </row>
    <row r="14" spans="1:7" s="1" customFormat="1" ht="15.95" customHeight="1" x14ac:dyDescent="0.15">
      <c r="A14" s="1" t="s">
        <v>4</v>
      </c>
    </row>
    <row r="15" spans="1:7" s="1" customFormat="1" ht="15.95" customHeight="1" x14ac:dyDescent="0.15">
      <c r="A15" s="1" t="s">
        <v>0</v>
      </c>
      <c r="F15" s="20" t="s">
        <v>25</v>
      </c>
    </row>
    <row r="16" spans="1:7" x14ac:dyDescent="0.15">
      <c r="G16" s="23" t="s">
        <v>36</v>
      </c>
    </row>
    <row r="17" spans="1:7" s="1" customFormat="1" ht="15.75" customHeight="1" x14ac:dyDescent="0.15">
      <c r="A17" s="17" t="s">
        <v>5</v>
      </c>
      <c r="B17" s="18"/>
      <c r="C17" s="18"/>
      <c r="D17" s="18"/>
      <c r="E17" s="18"/>
      <c r="F17" s="18"/>
      <c r="G17" s="18"/>
    </row>
    <row r="18" spans="1:7" s="1" customFormat="1" ht="15.75" customHeight="1" x14ac:dyDescent="0.15">
      <c r="A18" s="16" t="s">
        <v>16</v>
      </c>
      <c r="B18" s="25" t="str">
        <f>IF(B17="","","個/Lot")</f>
        <v/>
      </c>
      <c r="C18" s="25" t="str">
        <f t="shared" ref="C18:G18" si="0">IF(C17="","","個/Lot")</f>
        <v/>
      </c>
      <c r="D18" s="25" t="str">
        <f t="shared" si="0"/>
        <v/>
      </c>
      <c r="E18" s="25" t="str">
        <f t="shared" si="0"/>
        <v/>
      </c>
      <c r="F18" s="25" t="str">
        <f t="shared" si="0"/>
        <v/>
      </c>
      <c r="G18" s="25" t="str">
        <f t="shared" si="0"/>
        <v/>
      </c>
    </row>
    <row r="19" spans="1:7" s="1" customFormat="1" ht="24" customHeight="1" x14ac:dyDescent="0.15">
      <c r="A19" s="13" t="s">
        <v>7</v>
      </c>
      <c r="B19" s="12"/>
      <c r="C19" s="12"/>
      <c r="D19" s="12"/>
      <c r="E19" s="12"/>
      <c r="F19" s="12"/>
      <c r="G19" s="12"/>
    </row>
    <row r="20" spans="1:7" s="1" customFormat="1" ht="24" customHeight="1" x14ac:dyDescent="0.15">
      <c r="A20" s="13" t="s">
        <v>8</v>
      </c>
      <c r="B20" s="12"/>
      <c r="C20" s="12"/>
      <c r="D20" s="12"/>
      <c r="E20" s="12"/>
      <c r="F20" s="12"/>
      <c r="G20" s="12"/>
    </row>
    <row r="21" spans="1:7" s="1" customFormat="1" ht="24" customHeight="1" x14ac:dyDescent="0.15">
      <c r="A21" s="13" t="s">
        <v>9</v>
      </c>
      <c r="B21" s="12"/>
      <c r="C21" s="12"/>
      <c r="D21" s="12"/>
      <c r="E21" s="12"/>
      <c r="F21" s="12"/>
      <c r="G21" s="12"/>
    </row>
    <row r="22" spans="1:7" s="1" customFormat="1" ht="24" customHeight="1" x14ac:dyDescent="0.15">
      <c r="A22" s="13" t="s">
        <v>10</v>
      </c>
      <c r="B22" s="12"/>
      <c r="C22" s="12"/>
      <c r="D22" s="12"/>
      <c r="E22" s="12"/>
      <c r="F22" s="12"/>
      <c r="G22" s="12"/>
    </row>
    <row r="23" spans="1:7" s="1" customFormat="1" ht="24" customHeight="1" x14ac:dyDescent="0.15">
      <c r="A23" s="13" t="s">
        <v>1</v>
      </c>
      <c r="B23" s="12"/>
      <c r="C23" s="12"/>
      <c r="D23" s="12"/>
      <c r="E23" s="12"/>
      <c r="F23" s="12"/>
      <c r="G23" s="12"/>
    </row>
    <row r="24" spans="1:7" s="1" customFormat="1" ht="24" customHeight="1" x14ac:dyDescent="0.15">
      <c r="A24" s="13"/>
      <c r="B24" s="12"/>
      <c r="C24" s="12"/>
      <c r="D24" s="12"/>
      <c r="E24" s="12"/>
      <c r="F24" s="12"/>
      <c r="G24" s="12"/>
    </row>
    <row r="25" spans="1:7" s="1" customFormat="1" ht="24" customHeight="1" x14ac:dyDescent="0.15">
      <c r="A25" s="13"/>
      <c r="B25" s="12"/>
      <c r="C25" s="12"/>
      <c r="D25" s="12"/>
      <c r="E25" s="12"/>
      <c r="F25" s="12"/>
      <c r="G25" s="12"/>
    </row>
    <row r="26" spans="1:7" s="1" customFormat="1" ht="24" customHeight="1" x14ac:dyDescent="0.15">
      <c r="A26" s="14" t="s">
        <v>28</v>
      </c>
      <c r="B26" s="15" t="str">
        <f>IF(SUM(B19:B25)&gt;0,SUM(B19:B25),"")</f>
        <v/>
      </c>
      <c r="C26" s="15" t="str">
        <f t="shared" ref="C26:G26" si="1">IF(SUM(C19:C25)&gt;0,SUM(C19:C25),"")</f>
        <v/>
      </c>
      <c r="D26" s="15" t="str">
        <f t="shared" si="1"/>
        <v/>
      </c>
      <c r="E26" s="15" t="str">
        <f t="shared" si="1"/>
        <v/>
      </c>
      <c r="F26" s="15" t="str">
        <f t="shared" si="1"/>
        <v/>
      </c>
      <c r="G26" s="15" t="str">
        <f t="shared" si="1"/>
        <v/>
      </c>
    </row>
    <row r="27" spans="1:7" s="1" customFormat="1" ht="24" customHeight="1" x14ac:dyDescent="0.15">
      <c r="A27" s="14" t="s">
        <v>15</v>
      </c>
      <c r="B27" s="15" t="str">
        <f>IF(B26="","",B26*B17)</f>
        <v/>
      </c>
      <c r="C27" s="15" t="str">
        <f t="shared" ref="C27:G27" si="2">IF(C26="","",C26*C17)</f>
        <v/>
      </c>
      <c r="D27" s="15" t="str">
        <f t="shared" si="2"/>
        <v/>
      </c>
      <c r="E27" s="15" t="str">
        <f t="shared" si="2"/>
        <v/>
      </c>
      <c r="F27" s="15" t="str">
        <f t="shared" si="2"/>
        <v/>
      </c>
      <c r="G27" s="15" t="str">
        <f t="shared" si="2"/>
        <v/>
      </c>
    </row>
    <row r="28" spans="1:7" x14ac:dyDescent="0.15">
      <c r="G28" s="23" t="s">
        <v>27</v>
      </c>
    </row>
    <row r="29" spans="1:7" x14ac:dyDescent="0.15">
      <c r="A29" t="s">
        <v>12</v>
      </c>
      <c r="B29" s="2"/>
      <c r="D29" t="s">
        <v>26</v>
      </c>
      <c r="E29" s="32"/>
      <c r="F29" s="22"/>
      <c r="G29" s="33"/>
    </row>
    <row r="30" spans="1:7" x14ac:dyDescent="0.15">
      <c r="E30" s="32"/>
      <c r="F30" s="22"/>
      <c r="G30" s="33"/>
    </row>
    <row r="31" spans="1:7" x14ac:dyDescent="0.15">
      <c r="A31" t="s">
        <v>14</v>
      </c>
      <c r="B31" s="35"/>
      <c r="E31" s="32"/>
      <c r="F31" s="22"/>
      <c r="G31" s="33"/>
    </row>
    <row r="33" spans="1:7" x14ac:dyDescent="0.15">
      <c r="A33" t="s">
        <v>11</v>
      </c>
      <c r="B33" s="35"/>
    </row>
    <row r="35" spans="1:7" x14ac:dyDescent="0.15">
      <c r="A35" t="s">
        <v>13</v>
      </c>
      <c r="B35" s="35"/>
    </row>
    <row r="37" spans="1:7" x14ac:dyDescent="0.15">
      <c r="A37" t="s">
        <v>2</v>
      </c>
      <c r="B37" s="35"/>
    </row>
    <row r="39" spans="1:7" ht="14.25" thickBot="1" x14ac:dyDescent="0.2"/>
    <row r="40" spans="1:7" x14ac:dyDescent="0.15">
      <c r="A40" s="3" t="s">
        <v>18</v>
      </c>
      <c r="B40" s="4"/>
      <c r="C40" s="4"/>
      <c r="D40" s="4"/>
      <c r="E40" s="4"/>
      <c r="F40" s="4"/>
      <c r="G40" s="5"/>
    </row>
    <row r="41" spans="1:7" x14ac:dyDescent="0.15">
      <c r="A41" s="34"/>
      <c r="G41" s="7"/>
    </row>
    <row r="42" spans="1:7" x14ac:dyDescent="0.15">
      <c r="A42" s="34"/>
      <c r="G42" s="7"/>
    </row>
    <row r="43" spans="1:7" x14ac:dyDescent="0.15">
      <c r="A43" s="34"/>
      <c r="G43" s="7"/>
    </row>
    <row r="44" spans="1:7" x14ac:dyDescent="0.15">
      <c r="A44" s="34"/>
      <c r="G44" s="7"/>
    </row>
    <row r="45" spans="1:7" x14ac:dyDescent="0.15">
      <c r="A45" s="34"/>
      <c r="G45" s="7"/>
    </row>
    <row r="46" spans="1:7" x14ac:dyDescent="0.15">
      <c r="A46" s="34"/>
      <c r="G46" s="7"/>
    </row>
    <row r="47" spans="1:7" x14ac:dyDescent="0.15">
      <c r="A47" s="34"/>
      <c r="G47" s="7"/>
    </row>
    <row r="48" spans="1:7" x14ac:dyDescent="0.15">
      <c r="A48" s="34"/>
      <c r="G48" s="7"/>
    </row>
    <row r="49" spans="1:7" x14ac:dyDescent="0.15">
      <c r="A49" s="34"/>
      <c r="G49" s="7"/>
    </row>
    <row r="50" spans="1:7" x14ac:dyDescent="0.15">
      <c r="A50" s="34"/>
      <c r="G50" s="7"/>
    </row>
    <row r="51" spans="1:7" x14ac:dyDescent="0.15">
      <c r="A51" s="6"/>
      <c r="G51" s="7"/>
    </row>
    <row r="52" spans="1:7" ht="14.25" thickBot="1" x14ac:dyDescent="0.2">
      <c r="A52" s="8"/>
      <c r="B52" s="9"/>
      <c r="C52" s="9"/>
      <c r="D52" s="9"/>
      <c r="E52" s="9"/>
      <c r="F52" s="9"/>
      <c r="G52" s="10"/>
    </row>
  </sheetData>
  <phoneticPr fontId="1"/>
  <pageMargins left="0.9055118110236221" right="0.51181102362204722" top="0.55118110236220474" bottom="0.55118110236220474" header="0.31496062992125984" footer="0.31496062992125984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view="pageBreakPreview" zoomScaleNormal="100" zoomScaleSheetLayoutView="100" workbookViewId="0"/>
  </sheetViews>
  <sheetFormatPr defaultRowHeight="13.5" x14ac:dyDescent="0.15"/>
  <cols>
    <col min="1" max="1" width="16" customWidth="1"/>
    <col min="2" max="7" width="12" customWidth="1"/>
  </cols>
  <sheetData>
    <row r="1" spans="1:7" ht="32.25" x14ac:dyDescent="0.3">
      <c r="A1" s="35"/>
      <c r="C1" s="19" t="s">
        <v>19</v>
      </c>
      <c r="D1" s="11"/>
    </row>
    <row r="2" spans="1:7" x14ac:dyDescent="0.15">
      <c r="F2" t="s">
        <v>6</v>
      </c>
      <c r="G2" s="2"/>
    </row>
    <row r="4" spans="1:7" ht="17.25" x14ac:dyDescent="0.2">
      <c r="A4" s="24"/>
      <c r="F4" t="s">
        <v>17</v>
      </c>
    </row>
    <row r="5" spans="1:7" ht="17.25" x14ac:dyDescent="0.2">
      <c r="A5" s="24"/>
    </row>
    <row r="6" spans="1:7" ht="17.25" x14ac:dyDescent="0.2">
      <c r="A6" s="24"/>
    </row>
    <row r="8" spans="1:7" x14ac:dyDescent="0.15">
      <c r="C8" s="26" t="s">
        <v>29</v>
      </c>
      <c r="D8" s="26"/>
      <c r="F8" t="s">
        <v>20</v>
      </c>
    </row>
    <row r="9" spans="1:7" x14ac:dyDescent="0.15">
      <c r="C9" s="26" t="s">
        <v>30</v>
      </c>
      <c r="D9" s="26"/>
      <c r="F9" t="s">
        <v>21</v>
      </c>
    </row>
    <row r="10" spans="1:7" x14ac:dyDescent="0.15">
      <c r="C10" s="26" t="s">
        <v>31</v>
      </c>
      <c r="D10" s="31"/>
      <c r="F10" t="s">
        <v>22</v>
      </c>
    </row>
    <row r="11" spans="1:7" x14ac:dyDescent="0.15">
      <c r="C11" s="26" t="s">
        <v>32</v>
      </c>
      <c r="D11" s="31"/>
      <c r="F11" t="s">
        <v>23</v>
      </c>
    </row>
    <row r="12" spans="1:7" x14ac:dyDescent="0.15">
      <c r="F12" t="s">
        <v>24</v>
      </c>
    </row>
    <row r="13" spans="1:7" s="1" customFormat="1" ht="15.95" customHeight="1" x14ac:dyDescent="0.15">
      <c r="A13" s="1" t="s">
        <v>3</v>
      </c>
    </row>
    <row r="14" spans="1:7" s="1" customFormat="1" ht="15.95" customHeight="1" x14ac:dyDescent="0.15">
      <c r="A14" s="1" t="s">
        <v>4</v>
      </c>
    </row>
    <row r="15" spans="1:7" s="1" customFormat="1" ht="15.95" customHeight="1" x14ac:dyDescent="0.15">
      <c r="A15" s="1" t="s">
        <v>0</v>
      </c>
      <c r="F15" s="20" t="s">
        <v>25</v>
      </c>
    </row>
    <row r="16" spans="1:7" x14ac:dyDescent="0.15">
      <c r="G16" s="23" t="s">
        <v>36</v>
      </c>
    </row>
    <row r="17" spans="1:7" s="1" customFormat="1" ht="15.75" customHeight="1" x14ac:dyDescent="0.15">
      <c r="A17" s="17" t="s">
        <v>5</v>
      </c>
      <c r="B17" s="18"/>
      <c r="C17" s="18"/>
      <c r="D17" s="18"/>
      <c r="E17" s="18"/>
      <c r="F17" s="18"/>
      <c r="G17" s="18"/>
    </row>
    <row r="18" spans="1:7" s="1" customFormat="1" ht="15.75" customHeight="1" x14ac:dyDescent="0.15">
      <c r="A18" s="16" t="s">
        <v>16</v>
      </c>
      <c r="B18" s="25" t="str">
        <f t="shared" ref="B18:G18" si="0">IF(B17="","","個/Lot")</f>
        <v/>
      </c>
      <c r="C18" s="25" t="str">
        <f t="shared" si="0"/>
        <v/>
      </c>
      <c r="D18" s="25" t="str">
        <f t="shared" si="0"/>
        <v/>
      </c>
      <c r="E18" s="25" t="str">
        <f t="shared" si="0"/>
        <v/>
      </c>
      <c r="F18" s="25" t="str">
        <f t="shared" si="0"/>
        <v/>
      </c>
      <c r="G18" s="25" t="str">
        <f t="shared" si="0"/>
        <v/>
      </c>
    </row>
    <row r="19" spans="1:7" s="1" customFormat="1" ht="21" customHeight="1" x14ac:dyDescent="0.15">
      <c r="A19" s="13" t="s">
        <v>7</v>
      </c>
      <c r="B19" s="12"/>
      <c r="C19" s="12"/>
      <c r="D19" s="12"/>
      <c r="E19" s="12"/>
      <c r="F19" s="12"/>
      <c r="G19" s="12"/>
    </row>
    <row r="20" spans="1:7" s="1" customFormat="1" ht="21" customHeight="1" x14ac:dyDescent="0.15">
      <c r="A20" s="13" t="s">
        <v>8</v>
      </c>
      <c r="B20" s="12"/>
      <c r="C20" s="12"/>
      <c r="D20" s="12"/>
      <c r="E20" s="12"/>
      <c r="F20" s="12"/>
      <c r="G20" s="12"/>
    </row>
    <row r="21" spans="1:7" s="1" customFormat="1" ht="21" customHeight="1" x14ac:dyDescent="0.15">
      <c r="A21" s="13" t="s">
        <v>9</v>
      </c>
      <c r="B21" s="12"/>
      <c r="C21" s="12"/>
      <c r="D21" s="12"/>
      <c r="E21" s="12"/>
      <c r="F21" s="12"/>
      <c r="G21" s="12"/>
    </row>
    <row r="22" spans="1:7" s="1" customFormat="1" ht="21" customHeight="1" x14ac:dyDescent="0.15">
      <c r="A22" s="13" t="s">
        <v>10</v>
      </c>
      <c r="B22" s="12"/>
      <c r="C22" s="12"/>
      <c r="D22" s="12"/>
      <c r="E22" s="12"/>
      <c r="F22" s="12"/>
      <c r="G22" s="12"/>
    </row>
    <row r="23" spans="1:7" s="1" customFormat="1" ht="21" customHeight="1" thickBot="1" x14ac:dyDescent="0.2">
      <c r="A23" s="27" t="s">
        <v>1</v>
      </c>
      <c r="B23" s="28"/>
      <c r="C23" s="28"/>
      <c r="D23" s="28"/>
      <c r="E23" s="28"/>
      <c r="F23" s="28"/>
      <c r="G23" s="28"/>
    </row>
    <row r="24" spans="1:7" s="1" customFormat="1" ht="21" customHeight="1" thickTop="1" x14ac:dyDescent="0.15">
      <c r="A24" s="29" t="s">
        <v>33</v>
      </c>
      <c r="B24" s="30"/>
      <c r="C24" s="30"/>
      <c r="D24" s="30"/>
      <c r="E24" s="30"/>
      <c r="F24" s="30"/>
      <c r="G24" s="30"/>
    </row>
    <row r="25" spans="1:7" s="1" customFormat="1" ht="21" customHeight="1" x14ac:dyDescent="0.15">
      <c r="A25" s="13" t="s">
        <v>34</v>
      </c>
      <c r="B25" s="12"/>
      <c r="C25" s="12"/>
      <c r="D25" s="12"/>
      <c r="E25" s="12"/>
      <c r="F25" s="12"/>
      <c r="G25" s="12"/>
    </row>
    <row r="26" spans="1:7" s="1" customFormat="1" ht="21" customHeight="1" x14ac:dyDescent="0.15">
      <c r="A26" s="13" t="s">
        <v>35</v>
      </c>
      <c r="B26" s="12" t="str">
        <f>IF(B25&lt;&gt;"",(B20+B23)*B17/B25,"")</f>
        <v/>
      </c>
      <c r="C26" s="12" t="str">
        <f t="shared" ref="C26:G26" si="1">IF(C25&lt;&gt;"",(C20+C23)*C17/C25,"")</f>
        <v/>
      </c>
      <c r="D26" s="12" t="str">
        <f t="shared" si="1"/>
        <v/>
      </c>
      <c r="E26" s="12" t="str">
        <f t="shared" si="1"/>
        <v/>
      </c>
      <c r="F26" s="12" t="str">
        <f t="shared" si="1"/>
        <v/>
      </c>
      <c r="G26" s="12" t="str">
        <f t="shared" si="1"/>
        <v/>
      </c>
    </row>
    <row r="27" spans="1:7" s="1" customFormat="1" ht="21" customHeight="1" x14ac:dyDescent="0.15">
      <c r="A27" s="14" t="s">
        <v>28</v>
      </c>
      <c r="B27" s="15" t="str">
        <f>IF(SUM(B19:B23)&gt;0,SUM(B19:B23),"")</f>
        <v/>
      </c>
      <c r="C27" s="15" t="str">
        <f t="shared" ref="C27:G27" si="2">IF(SUM(C19:C23)&gt;0,SUM(C19:C23),"")</f>
        <v/>
      </c>
      <c r="D27" s="15" t="str">
        <f t="shared" si="2"/>
        <v/>
      </c>
      <c r="E27" s="15" t="str">
        <f t="shared" si="2"/>
        <v/>
      </c>
      <c r="F27" s="15" t="str">
        <f t="shared" si="2"/>
        <v/>
      </c>
      <c r="G27" s="15" t="str">
        <f t="shared" si="2"/>
        <v/>
      </c>
    </row>
    <row r="28" spans="1:7" s="1" customFormat="1" ht="21" customHeight="1" x14ac:dyDescent="0.15">
      <c r="A28" s="14" t="s">
        <v>15</v>
      </c>
      <c r="B28" s="15" t="str">
        <f>IF(B27="","",B27*B17)</f>
        <v/>
      </c>
      <c r="C28" s="15" t="str">
        <f t="shared" ref="C28:G28" si="3">IF(C27="","",C27*C17)</f>
        <v/>
      </c>
      <c r="D28" s="15" t="str">
        <f t="shared" si="3"/>
        <v/>
      </c>
      <c r="E28" s="15" t="str">
        <f t="shared" si="3"/>
        <v/>
      </c>
      <c r="F28" s="15" t="str">
        <f t="shared" si="3"/>
        <v/>
      </c>
      <c r="G28" s="15" t="str">
        <f t="shared" si="3"/>
        <v/>
      </c>
    </row>
    <row r="29" spans="1:7" x14ac:dyDescent="0.15">
      <c r="G29" s="23" t="s">
        <v>27</v>
      </c>
    </row>
    <row r="30" spans="1:7" x14ac:dyDescent="0.15">
      <c r="A30" t="s">
        <v>12</v>
      </c>
      <c r="B30" s="2"/>
      <c r="D30" t="s">
        <v>26</v>
      </c>
      <c r="E30" s="32"/>
      <c r="F30" s="22"/>
      <c r="G30" s="21"/>
    </row>
    <row r="31" spans="1:7" x14ac:dyDescent="0.15">
      <c r="E31" s="32"/>
      <c r="F31" s="22"/>
      <c r="G31" s="21"/>
    </row>
    <row r="32" spans="1:7" x14ac:dyDescent="0.15">
      <c r="A32" t="s">
        <v>14</v>
      </c>
      <c r="B32" s="35"/>
      <c r="E32" s="32"/>
      <c r="F32" s="22"/>
      <c r="G32" s="21"/>
    </row>
    <row r="34" spans="1:7" x14ac:dyDescent="0.15">
      <c r="A34" t="s">
        <v>11</v>
      </c>
      <c r="B34" s="35"/>
    </row>
    <row r="36" spans="1:7" x14ac:dyDescent="0.15">
      <c r="A36" t="s">
        <v>13</v>
      </c>
      <c r="B36" s="35"/>
    </row>
    <row r="38" spans="1:7" x14ac:dyDescent="0.15">
      <c r="A38" t="s">
        <v>2</v>
      </c>
      <c r="B38" s="35"/>
    </row>
    <row r="39" spans="1:7" ht="14.25" thickBot="1" x14ac:dyDescent="0.2"/>
    <row r="40" spans="1:7" x14ac:dyDescent="0.15">
      <c r="A40" s="3" t="s">
        <v>18</v>
      </c>
      <c r="B40" s="4"/>
      <c r="C40" s="4"/>
      <c r="D40" s="4"/>
      <c r="E40" s="4"/>
      <c r="F40" s="4"/>
      <c r="G40" s="5"/>
    </row>
    <row r="41" spans="1:7" x14ac:dyDescent="0.15">
      <c r="A41" s="34"/>
      <c r="G41" s="7"/>
    </row>
    <row r="42" spans="1:7" x14ac:dyDescent="0.15">
      <c r="A42" s="34"/>
      <c r="G42" s="7"/>
    </row>
    <row r="43" spans="1:7" x14ac:dyDescent="0.15">
      <c r="A43" s="34"/>
      <c r="G43" s="7"/>
    </row>
    <row r="44" spans="1:7" x14ac:dyDescent="0.15">
      <c r="A44" s="34"/>
      <c r="G44" s="7"/>
    </row>
    <row r="45" spans="1:7" x14ac:dyDescent="0.15">
      <c r="A45" s="34"/>
      <c r="G45" s="7"/>
    </row>
    <row r="46" spans="1:7" x14ac:dyDescent="0.15">
      <c r="A46" s="34"/>
      <c r="G46" s="7"/>
    </row>
    <row r="47" spans="1:7" x14ac:dyDescent="0.15">
      <c r="A47" s="34"/>
      <c r="G47" s="7"/>
    </row>
    <row r="48" spans="1:7" x14ac:dyDescent="0.15">
      <c r="A48" s="34"/>
      <c r="G48" s="7"/>
    </row>
    <row r="49" spans="1:7" x14ac:dyDescent="0.15">
      <c r="A49" s="34"/>
      <c r="G49" s="7"/>
    </row>
    <row r="50" spans="1:7" x14ac:dyDescent="0.15">
      <c r="A50" s="34"/>
      <c r="G50" s="7"/>
    </row>
    <row r="51" spans="1:7" x14ac:dyDescent="0.15">
      <c r="A51" s="6"/>
      <c r="G51" s="7"/>
    </row>
    <row r="52" spans="1:7" ht="14.25" thickBot="1" x14ac:dyDescent="0.2">
      <c r="A52" s="8"/>
      <c r="B52" s="9"/>
      <c r="C52" s="9"/>
      <c r="D52" s="9"/>
      <c r="E52" s="9"/>
      <c r="F52" s="9"/>
      <c r="G52" s="10"/>
    </row>
  </sheetData>
  <phoneticPr fontId="1"/>
  <pageMargins left="0.9055118110236221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2026-10-05T01:37:33Z</dcterms:modified>
</cp:coreProperties>
</file>